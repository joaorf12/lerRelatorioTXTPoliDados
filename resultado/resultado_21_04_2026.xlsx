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able 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Times New Roman"/>
      <charset val="204"/>
      <color rgb="FF000000"/>
      <sz val="10"/>
    </font>
    <font>
      <name val="Calibri"/>
      <family val="2"/>
      <sz val="6.5"/>
    </font>
    <font>
      <name val="Calibri"/>
      <family val="2"/>
      <b val="1"/>
      <sz val="8"/>
    </font>
    <font>
      <name val="Calibri"/>
      <family val="2"/>
      <color rgb="FF000000"/>
      <sz val="6.5"/>
    </font>
    <font>
      <name val="Calibri"/>
      <family val="2"/>
      <b val="1"/>
      <sz val="4.5"/>
    </font>
    <font>
      <name val="Calibri"/>
      <family val="2"/>
      <b val="1"/>
      <sz val="9.5"/>
    </font>
    <font>
      <name val="Times New Roman"/>
      <family val="1"/>
      <sz val="9.5"/>
    </font>
    <font>
      <name val="Calibri"/>
      <family val="2"/>
      <b val="1"/>
      <sz val="8"/>
    </font>
    <font>
      <name val="Times New Roman"/>
      <family val="1"/>
      <sz val="8"/>
    </font>
    <font>
      <name val="Calibri"/>
      <family val="2"/>
      <sz val="6.5"/>
    </font>
    <font>
      <name val="Times New Roman"/>
      <family val="1"/>
      <sz val="6.5"/>
    </font>
    <font>
      <name val="Times New Roman"/>
      <family val="1"/>
      <sz val="4.5"/>
    </font>
    <font>
      <name val="Calibri"/>
      <family val="2"/>
      <color theme="0"/>
      <sz val="11"/>
      <scheme val="minor"/>
    </font>
    <font>
      <name val="Times New Roman"/>
      <charset val="204"/>
      <family val="2"/>
      <sz val="9.5"/>
    </font>
    <font>
      <name val="Times New Roman"/>
      <charset val="204"/>
      <family val="2"/>
      <sz val="8"/>
    </font>
    <font>
      <name val="Times New Roman"/>
      <charset val="204"/>
      <family val="2"/>
      <sz val="6.5"/>
    </font>
    <font>
      <name val="Times New Roman"/>
      <charset val="204"/>
      <family val="2"/>
      <sz val="4.5"/>
    </font>
    <font>
      <name val="Times New Roman"/>
      <family val="1"/>
      <b val="1"/>
      <color rgb="FF000000"/>
      <sz val="4.5"/>
    </font>
    <font>
      <name val="Calibri"/>
      <family val="2"/>
      <color rgb="FF000000"/>
      <sz val="8"/>
      <scheme val="minor"/>
    </font>
    <font>
      <name val="Calibri"/>
      <family val="2"/>
      <b val="1"/>
      <color rgb="FF000000"/>
      <sz val="8"/>
      <scheme val="minor"/>
    </font>
    <font>
      <name val="Calibri"/>
      <family val="2"/>
      <color rgb="FF000000"/>
      <sz val="6.5"/>
      <scheme val="minor"/>
    </font>
    <font>
      <name val="Calibri"/>
      <family val="2"/>
      <b val="1"/>
      <color rgb="FF000000"/>
      <sz val="4.5"/>
      <scheme val="minor"/>
    </font>
    <font>
      <name val="Calibri"/>
      <family val="2"/>
      <sz val="6"/>
    </font>
    <font>
      <name val="Calibri"/>
      <family val="2"/>
      <b val="1"/>
      <sz val="8"/>
      <scheme val="minor"/>
    </font>
    <font>
      <name val="Calibri"/>
      <family val="2"/>
      <sz val="8"/>
      <scheme val="minor"/>
    </font>
    <font>
      <name val="Cambria"/>
      <family val="1"/>
      <b val="1"/>
      <sz val="9.5"/>
      <scheme val="major"/>
    </font>
    <font>
      <name val="Calibri"/>
      <family val="2"/>
      <b val="1"/>
      <sz val="9.5"/>
      <scheme val="minor"/>
    </font>
    <font>
      <name val="Times New Roman"/>
      <family val="1"/>
      <color rgb="FF000000"/>
      <sz val="10"/>
      <u val="single"/>
    </font>
  </fonts>
  <fills count="5">
    <fill>
      <patternFill/>
    </fill>
    <fill>
      <patternFill patternType="gray125"/>
    </fill>
    <fill>
      <patternFill patternType="solid">
        <fgColor rgb="FF5B9AD3"/>
      </patternFill>
    </fill>
    <fill>
      <patternFill patternType="solid">
        <fgColor theme="4"/>
      </patternFill>
    </fill>
    <fill>
      <patternFill patternType="solid">
        <fgColor theme="3" tint="0.3999450666829432"/>
        <bgColor indexed="64"/>
      </patternFill>
    </fill>
  </fills>
  <borders count="4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5B9AD3"/>
      </bottom>
      <diagonal/>
    </border>
    <border>
      <left style="thin">
        <color rgb="FF000000"/>
      </left>
      <right/>
      <top style="thin">
        <color rgb="FF000000"/>
      </top>
      <bottom style="thin">
        <color rgb="FF5B9AD3"/>
      </bottom>
      <diagonal/>
    </border>
    <border>
      <left/>
      <right/>
      <top style="thin">
        <color rgb="FF000000"/>
      </top>
      <bottom style="thin">
        <color rgb="FF5B9AD3"/>
      </bottom>
      <diagonal/>
    </border>
    <border>
      <left/>
      <right style="thin">
        <color rgb="FF000000"/>
      </right>
      <top style="thin">
        <color rgb="FF000000"/>
      </top>
      <bottom style="thin">
        <color rgb="FF5B9AD3"/>
      </bottom>
      <diagonal/>
    </border>
    <border>
      <left style="thin">
        <color rgb="FF000000"/>
      </left>
      <right style="thin">
        <color rgb="FF000000"/>
      </right>
      <top style="thin">
        <color rgb="FF5B9AD3"/>
      </top>
      <bottom style="thin">
        <color rgb="FF5B9AD3"/>
      </bottom>
      <diagonal/>
    </border>
    <border>
      <left style="thin">
        <color rgb="FF000000"/>
      </left>
      <right/>
      <top style="thin">
        <color rgb="FF5B9AD3"/>
      </top>
      <bottom style="thin">
        <color rgb="FF5B9AD3"/>
      </bottom>
      <diagonal/>
    </border>
    <border>
      <left/>
      <right/>
      <top style="thin">
        <color rgb="FF5B9AD3"/>
      </top>
      <bottom style="thin">
        <color rgb="FF5B9AD3"/>
      </bottom>
      <diagonal/>
    </border>
    <border>
      <left/>
      <right style="thin">
        <color rgb="FF000000"/>
      </right>
      <top style="thin">
        <color rgb="FF5B9AD3"/>
      </top>
      <bottom style="thin">
        <color rgb="FF5B9AD3"/>
      </bottom>
      <diagonal/>
    </border>
    <border>
      <left style="thin">
        <color rgb="FF000000"/>
      </left>
      <right style="thin">
        <color rgb="FF000000"/>
      </right>
      <top style="thin">
        <color rgb="FF5B9AD3"/>
      </top>
      <bottom style="thin">
        <color rgb="FF000000"/>
      </bottom>
      <diagonal/>
    </border>
    <border>
      <left style="thin">
        <color rgb="FF000000"/>
      </left>
      <right/>
      <top style="thin">
        <color rgb="FF5B9AD3"/>
      </top>
      <bottom style="thin">
        <color rgb="FF000000"/>
      </bottom>
      <diagonal/>
    </border>
    <border>
      <left/>
      <right/>
      <top style="thin">
        <color rgb="FF5B9AD3"/>
      </top>
      <bottom style="thin">
        <color rgb="FF000000"/>
      </bottom>
      <diagonal/>
    </border>
    <border>
      <left/>
      <right style="thin">
        <color rgb="FF000000"/>
      </right>
      <top style="thin">
        <color rgb="FF5B9AD3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5B9AD3"/>
      </top>
      <bottom/>
      <diagonal/>
    </border>
    <border>
      <left/>
      <right style="thin">
        <color rgb="FF000000"/>
      </right>
      <top style="thin">
        <color rgb="FF5B9AD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</borders>
  <cellStyleXfs count="2">
    <xf numFmtId="0" fontId="0" fillId="0" borderId="0"/>
    <xf numFmtId="0" fontId="12" fillId="3" borderId="0"/>
  </cellStyleXfs>
  <cellXfs count="258">
    <xf numFmtId="0" fontId="0" fillId="0" borderId="0" applyAlignment="1" pivotButton="0" quotePrefix="0" xfId="0">
      <alignment horizontal="left" vertical="top"/>
    </xf>
    <xf numFmtId="1" fontId="3" fillId="0" borderId="10" applyAlignment="1" pivotButton="0" quotePrefix="0" xfId="0">
      <alignment horizontal="center" vertical="top" shrinkToFit="1"/>
    </xf>
    <xf numFmtId="1" fontId="3" fillId="0" borderId="3" applyAlignment="1" pivotButton="0" quotePrefix="0" xfId="0">
      <alignment horizontal="center" vertical="top" shrinkToFit="1"/>
    </xf>
    <xf numFmtId="1" fontId="3" fillId="0" borderId="14" applyAlignment="1" pivotButton="0" quotePrefix="0" xfId="0">
      <alignment horizontal="center" vertical="top" shrinkToFit="1"/>
    </xf>
    <xf numFmtId="1" fontId="3" fillId="0" borderId="18" applyAlignment="1" pivotButton="0" quotePrefix="0" xfId="0">
      <alignment horizontal="center" vertical="top" shrinkToFit="1"/>
    </xf>
    <xf numFmtId="0" fontId="2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/>
    </xf>
    <xf numFmtId="1" fontId="3" fillId="0" borderId="6" applyAlignment="1" pivotButton="0" quotePrefix="0" xfId="0">
      <alignment horizontal="center" vertical="top" shrinkToFit="1"/>
    </xf>
    <xf numFmtId="0" fontId="1" fillId="0" borderId="6" applyAlignment="1" pivotButton="0" quotePrefix="0" xfId="0">
      <alignment horizontal="left" vertical="top" wrapText="1"/>
    </xf>
    <xf numFmtId="0" fontId="0" fillId="0" borderId="6" applyAlignment="1" pivotButton="0" quotePrefix="0" xfId="0">
      <alignment horizontal="left" wrapText="1"/>
    </xf>
    <xf numFmtId="1" fontId="3" fillId="0" borderId="7" applyAlignment="1" pivotButton="0" quotePrefix="0" xfId="0">
      <alignment horizontal="center" vertical="top" shrinkToFit="1"/>
    </xf>
    <xf numFmtId="1" fontId="3" fillId="0" borderId="8" applyAlignment="1" pivotButton="0" quotePrefix="0" xfId="0">
      <alignment horizontal="center" vertical="top" shrinkToFit="1"/>
    </xf>
    <xf numFmtId="1" fontId="3" fillId="0" borderId="9" applyAlignment="1" pivotButton="0" quotePrefix="0" xfId="0">
      <alignment horizontal="center" vertical="top" shrinkToFit="1"/>
    </xf>
    <xf numFmtId="0" fontId="12" fillId="4" borderId="28" applyAlignment="1" pivotButton="0" quotePrefix="0" xfId="1">
      <alignment wrapText="1"/>
    </xf>
    <xf numFmtId="0" fontId="12" fillId="4" borderId="29" applyAlignment="1" pivotButton="0" quotePrefix="0" xfId="1">
      <alignment wrapText="1"/>
    </xf>
    <xf numFmtId="0" fontId="12" fillId="4" borderId="30" applyAlignment="1" pivotButton="0" quotePrefix="0" xfId="1">
      <alignment wrapText="1"/>
    </xf>
    <xf numFmtId="0" fontId="9" fillId="0" borderId="2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7" fillId="0" borderId="25" applyAlignment="1" pivotButton="0" quotePrefix="0" xfId="0">
      <alignment vertical="top"/>
    </xf>
    <xf numFmtId="0" fontId="2" fillId="0" borderId="25" applyAlignment="1" pivotButton="0" quotePrefix="0" xfId="0">
      <alignment vertical="top"/>
    </xf>
    <xf numFmtId="0" fontId="9" fillId="0" borderId="0" applyAlignment="1" pivotButton="0" quotePrefix="0" xfId="0">
      <alignment horizontal="left" vertical="top"/>
    </xf>
    <xf numFmtId="0" fontId="14" fillId="0" borderId="23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center" vertical="center" wrapText="1"/>
    </xf>
    <xf numFmtId="0" fontId="0" fillId="0" borderId="23" applyAlignment="1" pivotButton="0" quotePrefix="0" xfId="0">
      <alignment vertical="center" wrapText="1"/>
    </xf>
    <xf numFmtId="0" fontId="19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18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horizontal="center" vertical="top" wrapText="1"/>
    </xf>
    <xf numFmtId="1" fontId="3" fillId="0" borderId="6" applyAlignment="1" pivotButton="0" quotePrefix="0" xfId="0">
      <alignment horizontal="left" vertical="top" shrinkToFit="1" indent="2"/>
    </xf>
    <xf numFmtId="0" fontId="14" fillId="0" borderId="0" applyAlignment="1" pivotButton="0" quotePrefix="0" xfId="0">
      <alignment horizontal="left" vertical="top" indent="1"/>
    </xf>
    <xf numFmtId="0" fontId="18" fillId="0" borderId="0" applyAlignment="1" pivotButton="0" quotePrefix="0" xfId="0">
      <alignment horizontal="center" vertical="top"/>
    </xf>
    <xf numFmtId="0" fontId="19" fillId="0" borderId="0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5" applyAlignment="1" pivotButton="0" quotePrefix="0" xfId="0">
      <alignment vertical="top" wrapText="1"/>
    </xf>
    <xf numFmtId="0" fontId="23" fillId="0" borderId="25" applyAlignment="1" pivotButton="0" quotePrefix="0" xfId="0">
      <alignment horizontal="center" vertical="top" wrapText="1"/>
    </xf>
    <xf numFmtId="0" fontId="0" fillId="2" borderId="6" applyAlignment="1" pivotButton="0" quotePrefix="0" xfId="0">
      <alignment wrapText="1"/>
    </xf>
    <xf numFmtId="0" fontId="0" fillId="2" borderId="5" applyAlignment="1" pivotButton="0" quotePrefix="0" xfId="0">
      <alignment wrapText="1"/>
    </xf>
    <xf numFmtId="0" fontId="0" fillId="2" borderId="4" applyAlignment="1" pivotButton="0" quotePrefix="0" xfId="0">
      <alignment wrapText="1"/>
    </xf>
    <xf numFmtId="1" fontId="20" fillId="0" borderId="8" applyAlignment="1" pivotButton="0" quotePrefix="0" xfId="0">
      <alignment horizontal="center" vertical="top" shrinkToFit="1"/>
    </xf>
    <xf numFmtId="1" fontId="20" fillId="0" borderId="7" applyAlignment="1" pivotButton="0" quotePrefix="0" xfId="0">
      <alignment horizontal="center" vertical="top" shrinkToFit="1"/>
    </xf>
    <xf numFmtId="1" fontId="20" fillId="0" borderId="9" applyAlignment="1" pivotButton="0" quotePrefix="0" xfId="0">
      <alignment horizontal="center" vertical="top" shrinkToFit="1"/>
    </xf>
    <xf numFmtId="0" fontId="9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top"/>
    </xf>
    <xf numFmtId="0" fontId="20" fillId="0" borderId="9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center" vertical="top"/>
    </xf>
    <xf numFmtId="1" fontId="20" fillId="0" borderId="3" applyAlignment="1" pivotButton="0" quotePrefix="0" xfId="0">
      <alignment horizontal="center" vertical="top"/>
    </xf>
    <xf numFmtId="0" fontId="20" fillId="0" borderId="3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1" fontId="20" fillId="0" borderId="7" applyAlignment="1" pivotButton="0" quotePrefix="0" xfId="0">
      <alignment horizontal="center" vertical="top"/>
    </xf>
    <xf numFmtId="0" fontId="20" fillId="0" borderId="7" applyAlignment="1" pivotButton="0" quotePrefix="0" xfId="0">
      <alignment horizontal="center" vertical="top"/>
    </xf>
    <xf numFmtId="1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/>
    </xf>
    <xf numFmtId="0" fontId="0" fillId="2" borderId="4" applyAlignment="1" pivotButton="0" quotePrefix="0" xfId="0">
      <alignment horizontal="center" wrapText="1"/>
    </xf>
    <xf numFmtId="0" fontId="0" fillId="2" borderId="6" applyAlignment="1" pivotButton="0" quotePrefix="0" xfId="0">
      <alignment horizontal="center" wrapText="1"/>
    </xf>
    <xf numFmtId="0" fontId="0" fillId="2" borderId="0" applyAlignment="1" pivotButton="0" quotePrefix="0" xfId="0">
      <alignment horizontal="center" wrapText="1"/>
    </xf>
    <xf numFmtId="0" fontId="0" fillId="2" borderId="27" applyAlignment="1" pivotButton="0" quotePrefix="0" xfId="0">
      <alignment horizontal="center" wrapText="1"/>
    </xf>
    <xf numFmtId="0" fontId="19" fillId="0" borderId="25" applyAlignment="1" pivotButton="0" quotePrefix="0" xfId="0">
      <alignment horizontal="center" vertical="top" wrapText="1"/>
    </xf>
    <xf numFmtId="0" fontId="23" fillId="0" borderId="25" applyAlignment="1" pivotButton="0" quotePrefix="0" xfId="0">
      <alignment horizontal="center" vertical="top" wrapText="1"/>
    </xf>
    <xf numFmtId="0" fontId="24" fillId="0" borderId="2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center" vertical="top"/>
    </xf>
    <xf numFmtId="0" fontId="19" fillId="0" borderId="2" applyAlignment="1" pivotButton="0" quotePrefix="0" xfId="0">
      <alignment horizontal="center" vertical="top"/>
    </xf>
    <xf numFmtId="0" fontId="19" fillId="0" borderId="25" applyAlignment="1" pivotButton="0" quotePrefix="0" xfId="0">
      <alignment horizontal="center" vertical="top"/>
    </xf>
    <xf numFmtId="0" fontId="0" fillId="0" borderId="2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7" fillId="0" borderId="25" applyAlignment="1" pivotButton="0" quotePrefix="0" xfId="0">
      <alignment horizontal="center" vertical="top"/>
    </xf>
    <xf numFmtId="0" fontId="2" fillId="0" borderId="25" applyAlignment="1" pivotButton="0" quotePrefix="0" xfId="0">
      <alignment horizontal="center" vertical="top"/>
    </xf>
    <xf numFmtId="0" fontId="2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0" fillId="0" borderId="25" applyAlignment="1" pivotButton="0" quotePrefix="0" xfId="0">
      <alignment horizontal="center" vertical="top"/>
    </xf>
    <xf numFmtId="0" fontId="19" fillId="0" borderId="6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left" vertical="top" wrapText="1"/>
    </xf>
    <xf numFmtId="0" fontId="1" fillId="0" borderId="20" applyAlignment="1" pivotButton="0" quotePrefix="0" xfId="0">
      <alignment horizontal="left" vertical="top" wrapText="1"/>
    </xf>
    <xf numFmtId="0" fontId="1" fillId="0" borderId="21" applyAlignment="1" pivotButton="0" quotePrefix="0" xfId="0">
      <alignment horizontal="left" vertical="top" wrapText="1"/>
    </xf>
    <xf numFmtId="1" fontId="3" fillId="0" borderId="24" applyAlignment="1" pivotButton="0" quotePrefix="0" xfId="0">
      <alignment horizontal="center" vertical="top" shrinkToFit="1"/>
    </xf>
    <xf numFmtId="1" fontId="3" fillId="0" borderId="26" applyAlignment="1" pivotButton="0" quotePrefix="0" xfId="0">
      <alignment horizontal="center" vertical="top" shrinkToFit="1"/>
    </xf>
    <xf numFmtId="0" fontId="18" fillId="0" borderId="2" applyAlignment="1" pivotButton="0" quotePrefix="0" xfId="0">
      <alignment horizontal="center" wrapText="1"/>
    </xf>
    <xf numFmtId="0" fontId="0" fillId="4" borderId="4" applyAlignment="1" pivotButton="0" quotePrefix="0" xfId="0">
      <alignment horizontal="left" wrapText="1"/>
    </xf>
    <xf numFmtId="0" fontId="0" fillId="4" borderId="6" applyAlignment="1" pivotButton="0" quotePrefix="0" xfId="0">
      <alignment horizontal="left" wrapText="1"/>
    </xf>
    <xf numFmtId="0" fontId="0" fillId="4" borderId="5" applyAlignment="1" pivotButton="0" quotePrefix="0" xfId="0">
      <alignment horizontal="left" wrapText="1"/>
    </xf>
    <xf numFmtId="0" fontId="1" fillId="0" borderId="22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27" applyAlignment="1" pivotButton="0" quotePrefix="0" xfId="0">
      <alignment horizontal="left" vertical="top" wrapText="1"/>
    </xf>
    <xf numFmtId="1" fontId="3" fillId="0" borderId="22" applyAlignment="1" pivotButton="0" quotePrefix="0" xfId="0">
      <alignment horizontal="center" vertical="top" shrinkToFit="1"/>
    </xf>
    <xf numFmtId="1" fontId="3" fillId="0" borderId="27" applyAlignment="1" pivotButton="0" quotePrefix="0" xfId="0">
      <alignment horizontal="center" vertical="top" shrinkToFit="1"/>
    </xf>
    <xf numFmtId="1" fontId="3" fillId="0" borderId="25" applyAlignment="1" pivotButton="0" quotePrefix="0" xfId="0">
      <alignment horizontal="center" vertical="top" shrinkToFit="1"/>
    </xf>
    <xf numFmtId="0" fontId="1" fillId="0" borderId="23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22" fillId="0" borderId="23" applyAlignment="1" pivotButton="0" quotePrefix="0" xfId="0">
      <alignment horizontal="left" vertical="top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top" shrinkToFit="1"/>
    </xf>
    <xf numFmtId="1" fontId="3" fillId="0" borderId="6" applyAlignment="1" pivotButton="0" quotePrefix="0" xfId="0">
      <alignment horizontal="center" vertical="top" shrinkToFit="1"/>
    </xf>
    <xf numFmtId="1" fontId="3" fillId="0" borderId="5" applyAlignment="1" pivotButton="0" quotePrefix="0" xfId="0">
      <alignment horizontal="center" vertical="top" shrinkToFit="1"/>
    </xf>
    <xf numFmtId="0" fontId="0" fillId="0" borderId="4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left" vertical="top" wrapText="1"/>
    </xf>
    <xf numFmtId="0" fontId="1" fillId="0" borderId="12" applyAlignment="1" pivotButton="0" quotePrefix="0" xfId="0">
      <alignment horizontal="left" vertical="top" wrapText="1"/>
    </xf>
    <xf numFmtId="0" fontId="1" fillId="0" borderId="13" applyAlignment="1" pivotButton="0" quotePrefix="0" xfId="0">
      <alignment horizontal="left" vertical="top" wrapText="1"/>
    </xf>
    <xf numFmtId="1" fontId="3" fillId="0" borderId="11" applyAlignment="1" pivotButton="0" quotePrefix="0" xfId="0">
      <alignment horizontal="center" vertical="top" shrinkToFit="1"/>
    </xf>
    <xf numFmtId="1" fontId="3" fillId="0" borderId="13" applyAlignment="1" pivotButton="0" quotePrefix="0" xfId="0">
      <alignment horizontal="center" vertical="top" shrinkToFit="1"/>
    </xf>
    <xf numFmtId="1" fontId="3" fillId="0" borderId="12" applyAlignment="1" pivotButton="0" quotePrefix="0" xfId="0">
      <alignment horizontal="center" vertical="top" shrinkToFit="1"/>
    </xf>
    <xf numFmtId="1" fontId="3" fillId="0" borderId="19" applyAlignment="1" pivotButton="0" quotePrefix="0" xfId="0">
      <alignment horizontal="center" vertical="top" shrinkToFit="1"/>
    </xf>
    <xf numFmtId="1" fontId="3" fillId="0" borderId="21" applyAlignment="1" pivotButton="0" quotePrefix="0" xfId="0">
      <alignment horizontal="center" vertical="top" shrinkToFit="1"/>
    </xf>
    <xf numFmtId="1" fontId="3" fillId="0" borderId="20" applyAlignment="1" pivotButton="0" quotePrefix="0" xfId="0">
      <alignment horizontal="center" vertical="top" shrinkToFit="1"/>
    </xf>
    <xf numFmtId="0" fontId="23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9" fillId="0" borderId="4" applyAlignment="1" pivotButton="0" quotePrefix="0" xfId="0">
      <alignment horizontal="center" vertical="center" wrapText="1"/>
    </xf>
    <xf numFmtId="1" fontId="0" fillId="2" borderId="4" applyAlignment="1" pivotButton="0" quotePrefix="0" xfId="0">
      <alignment horizontal="left" wrapText="1"/>
    </xf>
    <xf numFmtId="0" fontId="0" fillId="2" borderId="6" applyAlignment="1" pivotButton="0" quotePrefix="0" xfId="0">
      <alignment horizontal="left" wrapText="1"/>
    </xf>
    <xf numFmtId="0" fontId="0" fillId="2" borderId="5" applyAlignment="1" pivotButton="0" quotePrefix="0" xfId="0">
      <alignment horizontal="left" wrapText="1"/>
    </xf>
    <xf numFmtId="0" fontId="1" fillId="0" borderId="15" applyAlignment="1" pivotButton="0" quotePrefix="0" xfId="0">
      <alignment horizontal="left" vertical="top" wrapText="1"/>
    </xf>
    <xf numFmtId="0" fontId="1" fillId="0" borderId="16" applyAlignment="1" pivotButton="0" quotePrefix="0" xfId="0">
      <alignment horizontal="left" vertical="top" wrapText="1"/>
    </xf>
    <xf numFmtId="0" fontId="1" fillId="0" borderId="17" applyAlignment="1" pivotButton="0" quotePrefix="0" xfId="0">
      <alignment horizontal="left" vertical="top" wrapText="1"/>
    </xf>
    <xf numFmtId="1" fontId="3" fillId="0" borderId="15" applyAlignment="1" pivotButton="0" quotePrefix="0" xfId="0">
      <alignment horizontal="center" vertical="top" shrinkToFit="1"/>
    </xf>
    <xf numFmtId="1" fontId="3" fillId="0" borderId="17" applyAlignment="1" pivotButton="0" quotePrefix="0" xfId="0">
      <alignment horizontal="center" vertical="top" shrinkToFit="1"/>
    </xf>
    <xf numFmtId="1" fontId="3" fillId="0" borderId="16" applyAlignment="1" pivotButton="0" quotePrefix="0" xfId="0">
      <alignment horizontal="center" vertical="top" shrinkToFit="1"/>
    </xf>
    <xf numFmtId="0" fontId="0" fillId="2" borderId="4" applyAlignment="1" pivotButton="0" quotePrefix="0" xfId="0">
      <alignment horizontal="left" wrapText="1"/>
    </xf>
    <xf numFmtId="0" fontId="1" fillId="0" borderId="24" applyAlignment="1" pivotButton="0" quotePrefix="0" xfId="0">
      <alignment horizontal="left" vertical="top" wrapText="1"/>
    </xf>
    <xf numFmtId="0" fontId="1" fillId="0" borderId="25" applyAlignment="1" pivotButton="0" quotePrefix="0" xfId="0">
      <alignment horizontal="left" vertical="top" wrapText="1"/>
    </xf>
    <xf numFmtId="0" fontId="1" fillId="0" borderId="26" applyAlignment="1" pivotButton="0" quotePrefix="0" xfId="0">
      <alignment horizontal="left" vertical="top" wrapText="1"/>
    </xf>
    <xf numFmtId="0" fontId="1" fillId="0" borderId="35" applyAlignment="1" pivotButton="0" quotePrefix="0" xfId="0">
      <alignment horizontal="left" vertical="top" wrapText="1"/>
    </xf>
    <xf numFmtId="0" fontId="1" fillId="0" borderId="34" applyAlignment="1" pivotButton="0" quotePrefix="0" xfId="0">
      <alignment horizontal="left" vertical="top" wrapText="1"/>
    </xf>
    <xf numFmtId="0" fontId="1" fillId="0" borderId="36" applyAlignment="1" pivotButton="0" quotePrefix="0" xfId="0">
      <alignment horizontal="left" vertical="top" wrapText="1"/>
    </xf>
    <xf numFmtId="1" fontId="3" fillId="0" borderId="32" applyAlignment="1" pivotButton="0" quotePrefix="0" xfId="0">
      <alignment horizontal="center" vertical="top" shrinkToFit="1"/>
    </xf>
    <xf numFmtId="1" fontId="3" fillId="0" borderId="33" applyAlignment="1" pivotButton="0" quotePrefix="0" xfId="0">
      <alignment horizontal="center" vertical="top" shrinkToFit="1"/>
    </xf>
    <xf numFmtId="1" fontId="3" fillId="0" borderId="35" applyAlignment="1" pivotButton="0" quotePrefix="0" xfId="0">
      <alignment horizontal="center" vertical="top" shrinkToFit="1"/>
    </xf>
    <xf numFmtId="1" fontId="3" fillId="0" borderId="34" applyAlignment="1" pivotButton="0" quotePrefix="0" xfId="0">
      <alignment horizontal="center" vertical="top" shrinkToFit="1"/>
    </xf>
    <xf numFmtId="1" fontId="3" fillId="0" borderId="36" applyAlignment="1" pivotButton="0" quotePrefix="0" xfId="0">
      <alignment horizontal="center" vertical="top" shrinkToFit="1"/>
    </xf>
    <xf numFmtId="1" fontId="3" fillId="0" borderId="0" applyAlignment="1" pivotButton="0" quotePrefix="0" xfId="0">
      <alignment horizontal="center" vertical="top" shrinkToFit="1"/>
    </xf>
    <xf numFmtId="1" fontId="3" fillId="0" borderId="23" applyAlignment="1" pivotButton="0" quotePrefix="0" xfId="0">
      <alignment horizontal="center" vertical="top" shrinkToFit="1"/>
    </xf>
    <xf numFmtId="1" fontId="3" fillId="0" borderId="1" applyAlignment="1" pivotButton="0" quotePrefix="0" xfId="0">
      <alignment horizontal="center" vertical="top" shrinkToFit="1"/>
    </xf>
    <xf numFmtId="1" fontId="3" fillId="0" borderId="2" applyAlignment="1" pivotButton="0" quotePrefix="0" xfId="0">
      <alignment horizontal="center" vertical="top" shrinkToFit="1"/>
    </xf>
    <xf numFmtId="0" fontId="12" fillId="4" borderId="28" applyAlignment="1" pivotButton="0" quotePrefix="0" xfId="1">
      <alignment horizontal="center" wrapText="1"/>
    </xf>
    <xf numFmtId="0" fontId="12" fillId="4" borderId="29" applyAlignment="1" pivotButton="0" quotePrefix="0" xfId="1">
      <alignment horizontal="center" wrapText="1"/>
    </xf>
    <xf numFmtId="0" fontId="12" fillId="4" borderId="31" applyAlignment="1" pivotButton="0" quotePrefix="0" xfId="1">
      <alignment horizontal="center" wrapText="1"/>
    </xf>
    <xf numFmtId="0" fontId="12" fillId="4" borderId="37" applyAlignment="1" pivotButton="0" quotePrefix="0" xfId="1">
      <alignment horizontal="center" wrapText="1"/>
    </xf>
    <xf numFmtId="0" fontId="21" fillId="0" borderId="7" applyAlignment="1" pivotButton="0" quotePrefix="0" xfId="0">
      <alignment horizontal="center" vertical="center" textRotation="45"/>
    </xf>
    <xf numFmtId="0" fontId="17" fillId="0" borderId="8" applyAlignment="1" pivotButton="0" quotePrefix="0" xfId="0">
      <alignment horizontal="center" vertical="center" textRotation="45"/>
    </xf>
    <xf numFmtId="0" fontId="17" fillId="0" borderId="9" applyAlignment="1" pivotButton="0" quotePrefix="0" xfId="0">
      <alignment horizontal="center" vertical="center" textRotation="45"/>
    </xf>
    <xf numFmtId="0" fontId="0" fillId="0" borderId="2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0" fillId="0" borderId="7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center" wrapText="1"/>
    </xf>
    <xf numFmtId="0" fontId="7" fillId="0" borderId="25" applyAlignment="1" pivotButton="0" quotePrefix="0" xfId="0">
      <alignment horizontal="center" vertical="top" wrapText="1"/>
    </xf>
    <xf numFmtId="0" fontId="2" fillId="0" borderId="25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 indent="1"/>
    </xf>
    <xf numFmtId="0" fontId="4" fillId="0" borderId="8" applyAlignment="1" pivotButton="0" quotePrefix="0" xfId="0">
      <alignment horizontal="left" vertical="center" wrapText="1" indent="1"/>
    </xf>
    <xf numFmtId="0" fontId="4" fillId="0" borderId="9" applyAlignment="1" pivotButton="0" quotePrefix="0" xfId="0">
      <alignment horizontal="left" vertical="center" wrapText="1" indent="1"/>
    </xf>
    <xf numFmtId="0" fontId="19" fillId="0" borderId="6" applyAlignment="1" pivotButton="0" quotePrefix="0" xfId="0">
      <alignment horizontal="center" vertical="top"/>
    </xf>
    <xf numFmtId="0" fontId="21" fillId="0" borderId="7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1" fontId="20" fillId="0" borderId="24" applyAlignment="1" pivotButton="0" quotePrefix="0" xfId="0">
      <alignment horizontal="center" vertical="top" shrinkToFit="1"/>
    </xf>
    <xf numFmtId="1" fontId="20" fillId="0" borderId="25" applyAlignment="1" pivotButton="0" quotePrefix="0" xfId="0">
      <alignment horizontal="center" vertical="top" shrinkToFit="1"/>
    </xf>
    <xf numFmtId="0" fontId="18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" fontId="20" fillId="0" borderId="23" applyAlignment="1" pivotButton="0" quotePrefix="0" xfId="0">
      <alignment horizontal="center" vertical="top" shrinkToFit="1"/>
    </xf>
    <xf numFmtId="1" fontId="20" fillId="0" borderId="1" applyAlignment="1" pivotButton="0" quotePrefix="0" xfId="0">
      <alignment horizontal="center" vertical="top" shrinkToFit="1"/>
    </xf>
    <xf numFmtId="1" fontId="20" fillId="0" borderId="2" applyAlignment="1" pivotButton="0" quotePrefix="0" xfId="0">
      <alignment horizontal="center" vertical="top" shrinkToFit="1"/>
    </xf>
    <xf numFmtId="0" fontId="20" fillId="0" borderId="23" applyAlignment="1" pivotButton="0" quotePrefix="0" xfId="0">
      <alignment horizontal="center" wrapText="1"/>
    </xf>
    <xf numFmtId="0" fontId="20" fillId="0" borderId="1" applyAlignment="1" pivotButton="0" quotePrefix="0" xfId="0">
      <alignment horizontal="center" wrapText="1"/>
    </xf>
    <xf numFmtId="1" fontId="20" fillId="0" borderId="4" applyAlignment="1" pivotButton="0" quotePrefix="0" xfId="0">
      <alignment horizontal="center" vertical="top" shrinkToFit="1"/>
    </xf>
    <xf numFmtId="1" fontId="20" fillId="0" borderId="6" applyAlignment="1" pivotButton="0" quotePrefix="0" xfId="0">
      <alignment horizontal="center" vertical="top" shrinkToFit="1"/>
    </xf>
    <xf numFmtId="1" fontId="20" fillId="0" borderId="5" applyAlignment="1" pivotButton="0" quotePrefix="0" xfId="0">
      <alignment horizontal="center" vertical="top" shrinkToFit="1"/>
    </xf>
    <xf numFmtId="1" fontId="20" fillId="0" borderId="26" applyAlignment="1" pivotButton="0" quotePrefix="0" xfId="0">
      <alignment horizontal="center" vertical="top" shrinkToFit="1"/>
    </xf>
    <xf numFmtId="0" fontId="20" fillId="0" borderId="24" applyAlignment="1" pivotButton="0" quotePrefix="0" xfId="0">
      <alignment horizontal="center" wrapText="1"/>
    </xf>
    <xf numFmtId="0" fontId="20" fillId="0" borderId="26" applyAlignment="1" pivotButton="0" quotePrefix="0" xfId="0">
      <alignment horizontal="center" wrapText="1"/>
    </xf>
    <xf numFmtId="1" fontId="20" fillId="0" borderId="22" applyAlignment="1" pivotButton="0" quotePrefix="0" xfId="0">
      <alignment horizontal="center" vertical="top" shrinkToFit="1"/>
    </xf>
    <xf numFmtId="1" fontId="20" fillId="0" borderId="27" applyAlignment="1" pivotButton="0" quotePrefix="0" xfId="0">
      <alignment horizontal="center" vertical="top" shrinkToFit="1"/>
    </xf>
    <xf numFmtId="1" fontId="20" fillId="0" borderId="0" applyAlignment="1" pivotButton="0" quotePrefix="0" xfId="0">
      <alignment horizontal="center" vertical="top" shrinkToFit="1"/>
    </xf>
    <xf numFmtId="0" fontId="20" fillId="0" borderId="22" applyAlignment="1" pivotButton="0" quotePrefix="0" xfId="0">
      <alignment horizontal="center" wrapText="1"/>
    </xf>
    <xf numFmtId="0" fontId="20" fillId="0" borderId="27" applyAlignment="1" pivotButton="0" quotePrefix="0" xfId="0">
      <alignment horizontal="center" wrapText="1"/>
    </xf>
    <xf numFmtId="0" fontId="23" fillId="0" borderId="2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1" pivotButton="0" quotePrefix="0" xfId="0"/>
    <xf numFmtId="0" fontId="0" fillId="0" borderId="5" pivotButton="0" quotePrefix="0" xfId="0"/>
    <xf numFmtId="0" fontId="9" fillId="0" borderId="3" applyAlignment="1" pivotButton="0" quotePrefix="0" xfId="0">
      <alignment horizontal="center" vertical="center" wrapText="1"/>
    </xf>
    <xf numFmtId="0" fontId="0" fillId="0" borderId="6" pivotButton="0" quotePrefix="0" xfId="0"/>
    <xf numFmtId="0" fontId="1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left" vertical="top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8" pivotButton="0" quotePrefix="0" xfId="0"/>
    <xf numFmtId="1" fontId="0" fillId="2" borderId="3" applyAlignment="1" pivotButton="0" quotePrefix="0" xfId="0">
      <alignment horizontal="left" wrapText="1"/>
    </xf>
    <xf numFmtId="0" fontId="1" fillId="0" borderId="14" applyAlignment="1" pivotButton="0" quotePrefix="0" xfId="0">
      <alignment horizontal="left" vertical="top" wrapText="1"/>
    </xf>
    <xf numFmtId="0" fontId="0" fillId="0" borderId="16" pivotButton="0" quotePrefix="0" xfId="0"/>
    <xf numFmtId="0" fontId="0" fillId="0" borderId="17" pivotButton="0" quotePrefix="0" xfId="0"/>
    <xf numFmtId="0" fontId="0" fillId="2" borderId="3" applyAlignment="1" pivotButton="0" quotePrefix="0" xfId="0">
      <alignment horizontal="left" wrapText="1"/>
    </xf>
    <xf numFmtId="0" fontId="0" fillId="0" borderId="9" pivotButton="0" quotePrefix="0" xfId="0"/>
    <xf numFmtId="0" fontId="1" fillId="0" borderId="18" applyAlignment="1" pivotButton="0" quotePrefix="0" xfId="0">
      <alignment horizontal="left" vertical="top" wrapText="1"/>
    </xf>
    <xf numFmtId="0" fontId="0" fillId="0" borderId="20" pivotButton="0" quotePrefix="0" xfId="0"/>
    <xf numFmtId="0" fontId="0" fillId="0" borderId="21" pivotButton="0" quotePrefix="0" xfId="0"/>
    <xf numFmtId="0" fontId="0" fillId="0" borderId="25" pivotButton="0" quotePrefix="0" xfId="0"/>
    <xf numFmtId="0" fontId="1" fillId="0" borderId="7" applyAlignment="1" pivotButton="0" quotePrefix="0" xfId="0">
      <alignment horizontal="left" vertical="top" wrapText="1"/>
    </xf>
    <xf numFmtId="0" fontId="0" fillId="0" borderId="26" pivotButton="0" quotePrefix="0" xfId="0"/>
    <xf numFmtId="0" fontId="1" fillId="0" borderId="41" applyAlignment="1" pivotButton="0" quotePrefix="0" xfId="0">
      <alignment horizontal="left" vertical="top" wrapText="1"/>
    </xf>
    <xf numFmtId="0" fontId="0" fillId="0" borderId="34" pivotButton="0" quotePrefix="0" xfId="0"/>
    <xf numFmtId="0" fontId="0" fillId="0" borderId="36" pivotButton="0" quotePrefix="0" xfId="0"/>
    <xf numFmtId="1" fontId="3" fillId="0" borderId="42" applyAlignment="1" pivotButton="0" quotePrefix="0" xfId="0">
      <alignment horizontal="center" vertical="top" shrinkToFit="1"/>
    </xf>
    <xf numFmtId="0" fontId="0" fillId="0" borderId="33" pivotButton="0" quotePrefix="0" xfId="0"/>
    <xf numFmtId="1" fontId="3" fillId="0" borderId="41" applyAlignment="1" pivotButton="0" quotePrefix="0" xfId="0">
      <alignment horizontal="center" vertical="top" shrinkToFit="1"/>
    </xf>
    <xf numFmtId="0" fontId="0" fillId="0" borderId="27" pivotButton="0" quotePrefix="0" xfId="0"/>
    <xf numFmtId="0" fontId="12" fillId="4" borderId="40" applyAlignment="1" pivotButton="0" quotePrefix="0" xfId="1">
      <alignment horizontal="center" wrapText="1"/>
    </xf>
    <xf numFmtId="0" fontId="0" fillId="0" borderId="29" pivotButton="0" quotePrefix="0" xfId="0"/>
    <xf numFmtId="0" fontId="0" fillId="0" borderId="30" pivotButton="0" quotePrefix="0" xfId="0"/>
    <xf numFmtId="0" fontId="1" fillId="0" borderId="9" applyAlignment="1" pivotButton="0" quotePrefix="0" xfId="0">
      <alignment horizontal="left" vertical="top" wrapText="1"/>
    </xf>
    <xf numFmtId="0" fontId="21" fillId="0" borderId="3" applyAlignment="1" pivotButton="0" quotePrefix="0" xfId="0">
      <alignment horizontal="center" vertical="center" textRotation="45"/>
    </xf>
    <xf numFmtId="0" fontId="0" fillId="0" borderId="22" pivotButton="0" quotePrefix="0" xfId="0"/>
    <xf numFmtId="0" fontId="0" fillId="4" borderId="3" applyAlignment="1" pivotButton="0" quotePrefix="0" xfId="0">
      <alignment horizontal="left" wrapText="1"/>
    </xf>
    <xf numFmtId="0" fontId="4" fillId="0" borderId="3" applyAlignment="1" pivotButton="0" quotePrefix="0" xfId="0">
      <alignment horizontal="left" vertical="center" wrapText="1" indent="1"/>
    </xf>
    <xf numFmtId="0" fontId="1" fillId="0" borderId="8" applyAlignment="1" pivotButton="0" quotePrefix="0" xfId="0">
      <alignment horizontal="left" vertical="top" wrapText="1"/>
    </xf>
    <xf numFmtId="0" fontId="22" fillId="0" borderId="9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center" vertical="center" wrapText="1"/>
    </xf>
    <xf numFmtId="0" fontId="21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left" vertical="top" wrapText="1"/>
    </xf>
    <xf numFmtId="0" fontId="20" fillId="0" borderId="7" applyAlignment="1" pivotButton="0" quotePrefix="0" xfId="0">
      <alignment horizontal="center" wrapText="1"/>
    </xf>
    <xf numFmtId="0" fontId="0" fillId="2" borderId="3" applyAlignment="1" pivotButton="0" quotePrefix="0" xfId="0">
      <alignment horizontal="center" wrapText="1"/>
    </xf>
    <xf numFmtId="0" fontId="20" fillId="0" borderId="8" applyAlignment="1" pivotButton="0" quotePrefix="0" xfId="0">
      <alignment horizontal="center" wrapText="1"/>
    </xf>
    <xf numFmtId="0" fontId="20" fillId="0" borderId="9" applyAlignment="1" pivotButton="0" quotePrefix="0" xfId="0">
      <alignment horizontal="center" wrapText="1"/>
    </xf>
    <xf numFmtId="1" fontId="20" fillId="0" borderId="3" applyAlignment="1" pivotButton="0" quotePrefix="0" xfId="0">
      <alignment horizontal="center" vertical="top" shrinkToFit="1"/>
    </xf>
  </cellXfs>
  <cellStyles count="2">
    <cellStyle name="Normal" xfId="0" builtinId="0"/>
    <cellStyle name="Ênfase1" xfId="1" builtinId="2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6"/>
  <sheetViews>
    <sheetView tabSelected="1" topLeftCell="A55" zoomScale="115" zoomScaleNormal="115" workbookViewId="0">
      <selection activeCell="K62" sqref="K62"/>
    </sheetView>
  </sheetViews>
  <sheetFormatPr baseColWidth="8" defaultColWidth="9.33203125" defaultRowHeight="12.75"/>
  <cols>
    <col width="9.33203125" customWidth="1" style="209" min="1" max="1"/>
    <col width="4.83203125" customWidth="1" style="209" min="2" max="2"/>
    <col width="3.33203125" customWidth="1" style="209" min="3" max="3"/>
    <col width="1.1640625" customWidth="1" style="209" min="4" max="4"/>
    <col width="4.6640625" customWidth="1" style="209" min="5" max="5"/>
    <col width="3.33203125" customWidth="1" style="209" min="6" max="6"/>
    <col width="5.83203125" customWidth="1" style="209" min="7" max="7"/>
    <col width="1.1640625" customWidth="1" style="209" min="8" max="8"/>
    <col width="8.33203125" customWidth="1" style="209" min="9" max="9"/>
    <col width="6" customWidth="1" style="209" min="10" max="10"/>
    <col width="14.33203125" customWidth="1" style="209" min="11" max="11"/>
    <col width="5.5" customWidth="1" style="209" min="12" max="12"/>
    <col width="1.1640625" customWidth="1" style="209" min="13" max="13"/>
    <col width="2" customWidth="1" style="209" min="14" max="14"/>
    <col width="1.1640625" customWidth="1" style="209" min="15" max="15"/>
    <col width="2.1640625" customWidth="1" style="209" min="16" max="16"/>
    <col width="5.33203125" customWidth="1" style="209" min="17" max="17"/>
    <col width="2.1640625" customWidth="1" style="209" min="18" max="18"/>
    <col width="6.6640625" customWidth="1" style="209" min="19" max="19"/>
    <col width="2.1640625" customWidth="1" style="209" min="20" max="20"/>
    <col width="6.6640625" customWidth="1" style="209" min="21" max="21"/>
    <col hidden="1" width="3.1640625" customWidth="1" style="209" min="22" max="22"/>
    <col width="8.33203125" customWidth="1" style="209" min="23" max="23"/>
    <col width="2.1640625" customWidth="1" style="209" min="24" max="24"/>
    <col width="1.1640625" customWidth="1" style="209" min="25" max="25"/>
    <col width="2.1640625" customWidth="1" style="209" min="26" max="26"/>
    <col width="4.6640625" customWidth="1" style="209" min="27" max="27"/>
    <col width="1.1640625" customWidth="1" style="209" min="28" max="28"/>
    <col width="3.33203125" customWidth="1" style="209" min="29" max="29"/>
    <col width="4.6640625" customWidth="1" style="209" min="30" max="30"/>
    <col width="2.1640625" customWidth="1" style="209" min="31" max="31"/>
    <col width="5.83203125" customWidth="1" style="209" min="32" max="33"/>
    <col width="14" customWidth="1" style="209" min="34" max="37"/>
  </cols>
  <sheetData>
    <row r="1">
      <c r="A1" s="135" t="inlineStr">
        <is>
          <t>CONTAGEM FÍSICA DE ESTOQUE       DATA: 13/04/2026</t>
        </is>
      </c>
    </row>
    <row r="2">
      <c r="A2" s="57" t="inlineStr">
        <is>
          <t>WOOD/HOME</t>
        </is>
      </c>
    </row>
    <row r="3">
      <c r="A3" s="54" t="n"/>
      <c r="B3" s="50" t="n"/>
      <c r="C3" s="50" t="n"/>
      <c r="D3" s="50" t="n"/>
      <c r="E3" s="50" t="n"/>
      <c r="F3" s="50" t="n"/>
      <c r="G3" s="50" t="n"/>
      <c r="H3" s="50" t="n"/>
      <c r="I3" s="191" t="inlineStr">
        <is>
          <t>V1</t>
        </is>
      </c>
      <c r="J3" s="210" t="n"/>
      <c r="K3" s="51" t="inlineStr">
        <is>
          <t>V2</t>
        </is>
      </c>
      <c r="L3" s="191" t="inlineStr">
        <is>
          <t>V3</t>
        </is>
      </c>
      <c r="M3" s="210" t="n"/>
      <c r="N3" s="210" t="n"/>
      <c r="O3" s="191" t="inlineStr">
        <is>
          <t>V4</t>
        </is>
      </c>
      <c r="P3" s="210" t="n"/>
      <c r="Q3" s="210" t="n"/>
      <c r="R3" s="191" t="inlineStr">
        <is>
          <t>V5 01</t>
        </is>
      </c>
      <c r="S3" s="210" t="n"/>
      <c r="T3" s="191" t="inlineStr">
        <is>
          <t>V5 02</t>
        </is>
      </c>
      <c r="U3" s="210" t="n"/>
      <c r="V3" s="50" t="n"/>
      <c r="W3" s="50" t="n"/>
      <c r="X3" s="50" t="n"/>
      <c r="Y3" s="50" t="n"/>
      <c r="Z3" s="50" t="n"/>
      <c r="AA3" s="50" t="n"/>
      <c r="AB3" s="50" t="n"/>
      <c r="AC3" s="50" t="n"/>
      <c r="AD3" s="50" t="n"/>
    </row>
    <row r="4">
      <c r="A4" s="79" t="inlineStr">
        <is>
          <t>GRUPO            PRODUTO   COR</t>
        </is>
      </c>
      <c r="B4" s="210" t="n"/>
      <c r="C4" s="210" t="n"/>
      <c r="D4" s="210" t="n"/>
      <c r="E4" s="210" t="n"/>
      <c r="F4" s="210" t="n"/>
      <c r="G4" s="210" t="n"/>
      <c r="H4" s="211" t="n"/>
      <c r="I4" s="36" t="inlineStr">
        <is>
          <t>GRADE CASAL</t>
        </is>
      </c>
      <c r="J4" s="212" t="n"/>
      <c r="K4" s="36" t="inlineStr">
        <is>
          <t>GRADE SOLT</t>
        </is>
      </c>
      <c r="L4" s="213" t="inlineStr">
        <is>
          <t>PÉS</t>
        </is>
      </c>
      <c r="M4" s="214" t="n"/>
      <c r="N4" s="212" t="n"/>
      <c r="O4" s="215" t="inlineStr">
        <is>
          <t>BARRA</t>
        </is>
      </c>
      <c r="P4" s="214" t="n"/>
      <c r="Q4" s="212" t="n"/>
      <c r="R4" s="215" t="inlineStr">
        <is>
          <t>ESCADA</t>
        </is>
      </c>
      <c r="S4" s="212" t="n"/>
      <c r="T4" s="215" t="inlineStr">
        <is>
          <t>ESCADA</t>
        </is>
      </c>
      <c r="U4" s="214" t="n"/>
      <c r="V4" s="212" t="n"/>
      <c r="W4" s="37" t="inlineStr">
        <is>
          <t>TOTAL</t>
        </is>
      </c>
      <c r="X4" s="36" t="inlineStr">
        <is>
          <t>TOTAL 01</t>
        </is>
      </c>
      <c r="Y4" s="214" t="n"/>
      <c r="Z4" s="214" t="n"/>
      <c r="AA4" s="212" t="n"/>
      <c r="AB4" s="36" t="inlineStr">
        <is>
          <t>TOTAL 02</t>
        </is>
      </c>
      <c r="AC4" s="214" t="n"/>
      <c r="AD4" s="212" t="n"/>
    </row>
    <row r="5">
      <c r="A5" s="216" t="inlineStr">
        <is>
          <t>TWIN FULL</t>
        </is>
      </c>
      <c r="B5" s="217" t="inlineStr">
        <is>
          <t>B105BR</t>
        </is>
      </c>
      <c r="C5" s="218" t="n"/>
      <c r="D5" s="219" t="n"/>
      <c r="E5" s="217" t="inlineStr">
        <is>
          <t>BRANCO</t>
        </is>
      </c>
      <c r="F5" s="218" t="n"/>
      <c r="G5" s="218" t="n"/>
      <c r="H5" s="219" t="n"/>
      <c r="I5" s="1" t="n">
        <v>106</v>
      </c>
      <c r="J5" s="219" t="n"/>
      <c r="K5" s="1" t="n">
        <v>106</v>
      </c>
      <c r="L5" s="1" t="n">
        <v>112</v>
      </c>
      <c r="M5" s="218" t="n"/>
      <c r="N5" s="219" t="n"/>
      <c r="O5" s="1" t="n">
        <v>115</v>
      </c>
      <c r="P5" s="218" t="n"/>
      <c r="Q5" s="219" t="n"/>
      <c r="R5" s="1" t="n">
        <v>72</v>
      </c>
      <c r="S5" s="219" t="n"/>
      <c r="T5" s="1" t="n">
        <v>99</v>
      </c>
      <c r="U5" s="218" t="n"/>
      <c r="V5" s="219" t="n"/>
      <c r="W5" s="1">
        <f>MIN(I5:Q5)</f>
        <v/>
      </c>
      <c r="X5" s="1">
        <f>MIN(I5:S5)</f>
        <v/>
      </c>
      <c r="Y5" s="218" t="n"/>
      <c r="Z5" s="218" t="n"/>
      <c r="AA5" s="219" t="n"/>
      <c r="AB5" s="2">
        <f>MIN(I5:Q5,T5)</f>
        <v/>
      </c>
      <c r="AC5" s="214" t="n"/>
      <c r="AD5" s="212" t="n"/>
    </row>
    <row r="6">
      <c r="A6" s="220" t="n"/>
      <c r="B6" s="221" t="n"/>
      <c r="C6" s="214" t="n"/>
      <c r="D6" s="214" t="n"/>
      <c r="E6" s="214" t="n"/>
      <c r="F6" s="214" t="n"/>
      <c r="G6" s="214" t="n"/>
      <c r="H6" s="214" t="n"/>
      <c r="I6" s="214" t="n"/>
      <c r="J6" s="214" t="n"/>
      <c r="K6" s="214" t="n"/>
      <c r="L6" s="214" t="n"/>
      <c r="M6" s="214" t="n"/>
      <c r="N6" s="214" t="n"/>
      <c r="O6" s="214" t="n"/>
      <c r="P6" s="214" t="n"/>
      <c r="Q6" s="214" t="n"/>
      <c r="R6" s="214" t="n"/>
      <c r="S6" s="214" t="n"/>
      <c r="T6" s="214" t="n"/>
      <c r="U6" s="214" t="n"/>
      <c r="V6" s="214" t="n"/>
      <c r="W6" s="214" t="n"/>
      <c r="X6" s="214" t="n"/>
      <c r="Y6" s="214" t="n"/>
      <c r="Z6" s="214" t="n"/>
      <c r="AA6" s="214" t="n"/>
      <c r="AB6" s="214" t="n"/>
      <c r="AC6" s="214" t="n"/>
      <c r="AD6" s="212" t="n"/>
    </row>
    <row r="7">
      <c r="A7" s="220" t="n"/>
      <c r="B7" s="222" t="inlineStr">
        <is>
          <t>B105CC</t>
        </is>
      </c>
      <c r="C7" s="223" t="n"/>
      <c r="D7" s="224" t="n"/>
      <c r="E7" s="222" t="inlineStr">
        <is>
          <t>CASTANHO</t>
        </is>
      </c>
      <c r="F7" s="223" t="n"/>
      <c r="G7" s="223" t="n"/>
      <c r="H7" s="224" t="n"/>
      <c r="I7" s="3" t="n">
        <v>155</v>
      </c>
      <c r="J7" s="224" t="n"/>
      <c r="K7" s="3" t="n">
        <v>166</v>
      </c>
      <c r="L7" s="3" t="n">
        <v>154</v>
      </c>
      <c r="M7" s="223" t="n"/>
      <c r="N7" s="224" t="n"/>
      <c r="O7" s="3" t="n">
        <v>155</v>
      </c>
      <c r="P7" s="223" t="n"/>
      <c r="Q7" s="224" t="n"/>
      <c r="R7" s="3" t="n">
        <v>70</v>
      </c>
      <c r="S7" s="224" t="n"/>
      <c r="T7" s="3" t="n">
        <v>164</v>
      </c>
      <c r="U7" s="223" t="n"/>
      <c r="V7" s="224" t="n"/>
      <c r="W7" s="1">
        <f>MIN(I7:Q7)</f>
        <v/>
      </c>
      <c r="X7" s="1">
        <f>MIN(I7:S7)</f>
        <v/>
      </c>
      <c r="Y7" s="218" t="n"/>
      <c r="Z7" s="218" t="n"/>
      <c r="AA7" s="219" t="n"/>
      <c r="AB7" s="2">
        <f>MIN(I7:Q7,T7)</f>
        <v/>
      </c>
      <c r="AC7" s="214" t="n"/>
      <c r="AD7" s="212" t="n"/>
    </row>
    <row r="8">
      <c r="A8" s="220" t="n"/>
      <c r="B8" s="225" t="n"/>
      <c r="C8" s="214" t="n"/>
      <c r="D8" s="214" t="n"/>
      <c r="E8" s="214" t="n"/>
      <c r="F8" s="214" t="n"/>
      <c r="G8" s="214" t="n"/>
      <c r="H8" s="214" t="n"/>
      <c r="I8" s="214" t="n"/>
      <c r="J8" s="214" t="n"/>
      <c r="K8" s="214" t="n"/>
      <c r="L8" s="214" t="n"/>
      <c r="M8" s="214" t="n"/>
      <c r="N8" s="214" t="n"/>
      <c r="O8" s="214" t="n"/>
      <c r="P8" s="214" t="n"/>
      <c r="Q8" s="214" t="n"/>
      <c r="R8" s="214" t="n"/>
      <c r="S8" s="214" t="n"/>
      <c r="T8" s="214" t="n"/>
      <c r="U8" s="214" t="n"/>
      <c r="V8" s="214" t="n"/>
      <c r="W8" s="214" t="n"/>
      <c r="X8" s="214" t="n"/>
      <c r="Y8" s="214" t="n"/>
      <c r="Z8" s="214" t="n"/>
      <c r="AA8" s="214" t="n"/>
      <c r="AB8" s="214" t="n"/>
      <c r="AC8" s="214" t="n"/>
      <c r="AD8" s="212" t="n"/>
    </row>
    <row r="9">
      <c r="A9" s="226" t="n"/>
      <c r="B9" s="227" t="inlineStr">
        <is>
          <t>B105ML</t>
        </is>
      </c>
      <c r="C9" s="228" t="n"/>
      <c r="D9" s="229" t="n"/>
      <c r="E9" s="227" t="inlineStr">
        <is>
          <t>MEL</t>
        </is>
      </c>
      <c r="F9" s="228" t="n"/>
      <c r="G9" s="228" t="n"/>
      <c r="H9" s="229" t="n"/>
      <c r="I9" s="4" t="n">
        <v>101</v>
      </c>
      <c r="J9" s="229" t="n"/>
      <c r="K9" s="4" t="n">
        <v>82</v>
      </c>
      <c r="L9" s="4" t="n">
        <v>98</v>
      </c>
      <c r="M9" s="228" t="n"/>
      <c r="N9" s="229" t="n"/>
      <c r="O9" s="4" t="n">
        <v>101</v>
      </c>
      <c r="P9" s="228" t="n"/>
      <c r="Q9" s="229" t="n"/>
      <c r="R9" s="4" t="n">
        <v>77</v>
      </c>
      <c r="S9" s="229" t="n"/>
      <c r="T9" s="4" t="n">
        <v>90</v>
      </c>
      <c r="U9" s="228" t="n"/>
      <c r="V9" s="229" t="n"/>
      <c r="W9" s="2">
        <f>MIN(I9:Q9)</f>
        <v/>
      </c>
      <c r="X9" s="2">
        <f>MIN(I9:S9)</f>
        <v/>
      </c>
      <c r="Y9" s="214" t="n"/>
      <c r="Z9" s="214" t="n"/>
      <c r="AA9" s="212" t="n"/>
      <c r="AB9" s="2">
        <f>MIN(I9:Q9,T9)</f>
        <v/>
      </c>
      <c r="AC9" s="214" t="n"/>
      <c r="AD9" s="212" t="n"/>
    </row>
    <row r="10" ht="12.75" customHeight="1" s="209">
      <c r="A10" s="49" t="n"/>
      <c r="B10" s="50" t="n"/>
      <c r="C10" s="50" t="n"/>
      <c r="D10" s="50" t="n"/>
      <c r="E10" s="50" t="n"/>
      <c r="F10" s="50" t="n"/>
      <c r="G10" s="50" t="n"/>
      <c r="H10" s="50" t="n"/>
      <c r="I10" s="208" t="inlineStr">
        <is>
          <t>V1</t>
        </is>
      </c>
      <c r="J10" s="230" t="n"/>
      <c r="K10" s="51" t="inlineStr">
        <is>
          <t>V2</t>
        </is>
      </c>
      <c r="L10" s="208" t="inlineStr">
        <is>
          <t>V3 01</t>
        </is>
      </c>
      <c r="M10" s="230" t="n"/>
      <c r="N10" s="230" t="n"/>
      <c r="O10" s="208" t="inlineStr">
        <is>
          <t>V3 02</t>
        </is>
      </c>
      <c r="P10" s="230" t="n"/>
      <c r="Q10" s="23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  <c r="AA10" s="50" t="n"/>
      <c r="AB10" s="50" t="n"/>
      <c r="AC10" s="50" t="n"/>
      <c r="AD10" s="50" t="n"/>
    </row>
    <row r="11" ht="12.75" customHeight="1" s="209">
      <c r="A11" s="46" t="inlineStr">
        <is>
          <t>                                                                                                                                                                       </t>
        </is>
      </c>
      <c r="B11" s="47" t="n"/>
      <c r="C11" s="47" t="n"/>
      <c r="D11" s="47" t="n"/>
      <c r="E11" s="47" t="n"/>
      <c r="F11" s="47" t="n"/>
      <c r="G11" s="47" t="n"/>
      <c r="H11" s="47" t="n"/>
      <c r="I11" s="134" t="inlineStr">
        <is>
          <t>GRADE/PÉ</t>
        </is>
      </c>
      <c r="J11" s="210" t="n"/>
      <c r="K11" s="48" t="inlineStr">
        <is>
          <t>BARRA</t>
        </is>
      </c>
      <c r="L11" s="134" t="inlineStr">
        <is>
          <t>ESCADA</t>
        </is>
      </c>
      <c r="M11" s="210" t="n"/>
      <c r="N11" s="210" t="n"/>
      <c r="O11" s="134" t="inlineStr">
        <is>
          <t>ESCADA</t>
        </is>
      </c>
      <c r="P11" s="210" t="n"/>
      <c r="Q11" s="210" t="n"/>
      <c r="R11" s="133" t="inlineStr">
        <is>
          <t>TOTAL</t>
        </is>
      </c>
      <c r="S11" s="210" t="n"/>
      <c r="T11" s="133" t="inlineStr">
        <is>
          <t>TOTAL 01</t>
        </is>
      </c>
      <c r="U11" s="210" t="n"/>
      <c r="V11" s="52" t="n"/>
      <c r="W11" s="53" t="inlineStr">
        <is>
          <t>TOTAL 02</t>
        </is>
      </c>
    </row>
    <row r="12">
      <c r="A12" s="216" t="inlineStr">
        <is>
          <t>TWIN TWIN</t>
        </is>
      </c>
      <c r="B12" s="231" t="inlineStr">
        <is>
          <t>B104BR</t>
        </is>
      </c>
      <c r="C12" s="230" t="n"/>
      <c r="D12" s="232" t="n"/>
      <c r="E12" s="231" t="inlineStr">
        <is>
          <t>BRANCO</t>
        </is>
      </c>
      <c r="F12" s="230" t="n"/>
      <c r="G12" s="230" t="n"/>
      <c r="H12" s="232" t="n"/>
      <c r="I12" s="11" t="n">
        <v>99</v>
      </c>
      <c r="J12" s="232" t="n"/>
      <c r="K12" s="11" t="n">
        <v>110</v>
      </c>
      <c r="L12" s="11" t="n">
        <v>74</v>
      </c>
      <c r="M12" s="230" t="n"/>
      <c r="N12" s="232" t="n"/>
      <c r="O12" s="11" t="n">
        <v>88</v>
      </c>
      <c r="P12" s="230" t="n"/>
      <c r="Q12" s="232" t="n"/>
      <c r="R12" s="11">
        <f>MIN(I12:K12)</f>
        <v/>
      </c>
      <c r="S12" s="232" t="n"/>
      <c r="T12" s="11">
        <f>MIN(I12:N12)</f>
        <v/>
      </c>
      <c r="U12" s="232" t="n"/>
      <c r="V12" s="11">
        <f>MIN(I12:K12,O12)</f>
        <v/>
      </c>
      <c r="W12" s="232" t="n"/>
    </row>
    <row r="13" ht="15" customHeight="1" s="209">
      <c r="A13" s="220" t="n"/>
      <c r="B13" s="14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6" t="n"/>
    </row>
    <row r="14" ht="12.75" customHeight="1" s="209">
      <c r="A14" s="220" t="n"/>
      <c r="B14" s="233" t="inlineStr">
        <is>
          <t>B104CC</t>
        </is>
      </c>
      <c r="C14" s="234" t="n"/>
      <c r="D14" s="235" t="n"/>
      <c r="E14" s="233" t="inlineStr">
        <is>
          <t>CASTANHO</t>
        </is>
      </c>
      <c r="F14" s="234" t="n"/>
      <c r="G14" s="234" t="n"/>
      <c r="H14" s="235" t="n"/>
      <c r="I14" s="236" t="n">
        <v>86</v>
      </c>
      <c r="J14" s="237" t="n"/>
      <c r="K14" s="12" t="n">
        <v>92</v>
      </c>
      <c r="L14" s="238" t="n">
        <v>78</v>
      </c>
      <c r="M14" s="234" t="n"/>
      <c r="N14" s="235" t="n"/>
      <c r="O14" s="12" t="n">
        <v>52</v>
      </c>
      <c r="Q14" s="239" t="n"/>
      <c r="R14" s="11">
        <f>MIN(I14:K14)</f>
        <v/>
      </c>
      <c r="S14" s="232" t="n"/>
      <c r="T14" s="11">
        <f>MIN(I14:N14)</f>
        <v/>
      </c>
      <c r="U14" s="232" t="n"/>
      <c r="V14" s="11">
        <f>MIN(I14:K14,O14)</f>
        <v/>
      </c>
      <c r="W14" s="232" t="n"/>
    </row>
    <row r="15" ht="15" customHeight="1" s="209">
      <c r="A15" s="220" t="n"/>
      <c r="B15" s="240" t="n"/>
      <c r="C15" s="241" t="n"/>
      <c r="D15" s="241" t="n"/>
      <c r="E15" s="241" t="n"/>
      <c r="F15" s="241" t="n"/>
      <c r="G15" s="241" t="n"/>
      <c r="H15" s="241" t="n"/>
      <c r="I15" s="241" t="n"/>
      <c r="J15" s="241" t="n"/>
      <c r="K15" s="241" t="n"/>
      <c r="L15" s="241" t="n"/>
      <c r="M15" s="241" t="n"/>
      <c r="N15" s="241" t="n"/>
      <c r="O15" s="241" t="n"/>
      <c r="P15" s="241" t="n"/>
      <c r="Q15" s="241" t="n"/>
      <c r="R15" s="241" t="n"/>
      <c r="S15" s="241" t="n"/>
      <c r="T15" s="241" t="n"/>
      <c r="U15" s="241" t="n"/>
      <c r="V15" s="241" t="n"/>
      <c r="W15" s="242" t="n"/>
    </row>
    <row r="16">
      <c r="A16" s="226" t="n"/>
      <c r="B16" s="243" t="inlineStr">
        <is>
          <t>B104ML</t>
        </is>
      </c>
      <c r="C16" s="210" t="n"/>
      <c r="D16" s="211" t="n"/>
      <c r="E16" s="243" t="inlineStr">
        <is>
          <t>MEL</t>
        </is>
      </c>
      <c r="F16" s="210" t="n"/>
      <c r="G16" s="210" t="n"/>
      <c r="H16" s="211" t="n"/>
      <c r="I16" s="13" t="n">
        <v>78</v>
      </c>
      <c r="J16" s="211" t="n"/>
      <c r="K16" s="13" t="n">
        <v>87</v>
      </c>
      <c r="L16" s="13" t="n">
        <v>106</v>
      </c>
      <c r="M16" s="210" t="n"/>
      <c r="N16" s="211" t="n"/>
      <c r="O16" s="13" t="n">
        <v>48</v>
      </c>
      <c r="P16" s="210" t="n"/>
      <c r="Q16" s="211" t="n"/>
      <c r="R16" s="2">
        <f>MIN(I16:K16)</f>
        <v/>
      </c>
      <c r="S16" s="212" t="n"/>
      <c r="T16" s="2">
        <f>MIN(I16:N16)</f>
        <v/>
      </c>
      <c r="U16" s="212" t="n"/>
      <c r="V16" s="2">
        <f>MIN(I16:K16,O16)</f>
        <v/>
      </c>
      <c r="W16" s="212" t="n"/>
    </row>
    <row r="17">
      <c r="A17" s="19" t="n"/>
      <c r="B17" s="20" t="n"/>
      <c r="C17" s="20" t="n"/>
      <c r="D17" s="20" t="n"/>
      <c r="E17" s="20" t="n"/>
      <c r="F17" s="20" t="n"/>
      <c r="G17" s="20" t="n"/>
      <c r="H17" s="20" t="n"/>
      <c r="I17" s="87" t="inlineStr">
        <is>
          <t>V1</t>
        </is>
      </c>
      <c r="J17" s="230" t="n"/>
    </row>
    <row r="18">
      <c r="A18" s="17" t="n"/>
      <c r="B18" s="18" t="n"/>
      <c r="C18" s="18" t="n"/>
      <c r="D18" s="18" t="n"/>
      <c r="E18" s="18" t="n"/>
      <c r="F18" s="18" t="n"/>
      <c r="G18" s="18" t="n"/>
      <c r="H18" s="18" t="n"/>
      <c r="I18" s="85" t="inlineStr">
        <is>
          <t>ÚNICO</t>
        </is>
      </c>
      <c r="J18" s="210" t="n"/>
    </row>
    <row r="19">
      <c r="A19" s="244" t="inlineStr">
        <is>
          <t>AUXILIAR SOLTEIRO</t>
        </is>
      </c>
      <c r="B19" s="217" t="inlineStr">
        <is>
          <t>O00230BR</t>
        </is>
      </c>
      <c r="C19" s="218" t="n"/>
      <c r="D19" s="219" t="n"/>
      <c r="E19" s="217" t="inlineStr">
        <is>
          <t>BRANCO</t>
        </is>
      </c>
      <c r="F19" s="218" t="n"/>
      <c r="G19" s="218" t="n"/>
      <c r="H19" s="219" t="n"/>
      <c r="I19" s="1" t="n">
        <v>145</v>
      </c>
      <c r="J19" s="219" t="n"/>
      <c r="K19" s="170" t="n"/>
    </row>
    <row r="20">
      <c r="A20" s="220" t="n"/>
      <c r="B20" s="225" t="n"/>
      <c r="C20" s="214" t="n"/>
      <c r="D20" s="214" t="n"/>
      <c r="E20" s="214" t="n"/>
      <c r="F20" s="214" t="n"/>
      <c r="G20" s="214" t="n"/>
      <c r="H20" s="214" t="n"/>
      <c r="I20" s="214" t="n"/>
      <c r="J20" s="212" t="n"/>
      <c r="K20" s="245" t="n"/>
    </row>
    <row r="21">
      <c r="A21" s="220" t="n"/>
      <c r="B21" s="222" t="inlineStr">
        <is>
          <t>O00230CC</t>
        </is>
      </c>
      <c r="C21" s="223" t="n"/>
      <c r="D21" s="224" t="n"/>
      <c r="E21" s="222" t="inlineStr">
        <is>
          <t>CASTANHO</t>
        </is>
      </c>
      <c r="F21" s="223" t="n"/>
      <c r="G21" s="223" t="n"/>
      <c r="H21" s="224" t="n"/>
      <c r="I21" s="3" t="n">
        <v>147</v>
      </c>
      <c r="J21" s="224" t="n"/>
      <c r="K21" s="245" t="n"/>
    </row>
    <row r="22">
      <c r="A22" s="220" t="n"/>
      <c r="B22" s="225" t="n"/>
      <c r="C22" s="214" t="n"/>
      <c r="D22" s="214" t="n"/>
      <c r="E22" s="214" t="n"/>
      <c r="F22" s="214" t="n"/>
      <c r="G22" s="214" t="n"/>
      <c r="H22" s="214" t="n"/>
      <c r="I22" s="214" t="n"/>
      <c r="J22" s="212" t="n"/>
      <c r="K22" s="245" t="n"/>
    </row>
    <row r="23">
      <c r="A23" s="220" t="n"/>
      <c r="B23" s="227" t="inlineStr">
        <is>
          <t>O00230ML</t>
        </is>
      </c>
      <c r="C23" s="228" t="n"/>
      <c r="D23" s="229" t="n"/>
      <c r="E23" s="227" t="inlineStr">
        <is>
          <t>MEL</t>
        </is>
      </c>
      <c r="F23" s="228" t="n"/>
      <c r="G23" s="228" t="n"/>
      <c r="H23" s="229" t="n"/>
      <c r="I23" s="4" t="n">
        <v>50</v>
      </c>
      <c r="J23" s="229" t="n"/>
      <c r="K23" s="245" t="n"/>
    </row>
    <row r="24" ht="12.75" customHeight="1" s="209">
      <c r="A24" s="220" t="n"/>
      <c r="B24" s="22" t="n"/>
      <c r="C24" s="23" t="n"/>
      <c r="D24" s="23" t="n"/>
      <c r="E24" s="23" t="n"/>
      <c r="F24" s="23" t="n"/>
      <c r="G24" s="23" t="n"/>
      <c r="H24" s="23" t="n"/>
      <c r="I24" s="92" t="inlineStr">
        <is>
          <t>V1</t>
        </is>
      </c>
      <c r="J24" s="214" t="n"/>
      <c r="K24" s="93" t="inlineStr">
        <is>
          <t>V2</t>
        </is>
      </c>
      <c r="L24" s="93" t="inlineStr">
        <is>
          <t>TOTAL</t>
        </is>
      </c>
      <c r="M24" s="210" t="n"/>
      <c r="N24" s="210" t="n"/>
      <c r="O24" s="210" t="n"/>
    </row>
    <row r="25">
      <c r="A25" s="220" t="n"/>
      <c r="B25" s="217" t="inlineStr">
        <is>
          <t>O01030BR</t>
        </is>
      </c>
      <c r="C25" s="218" t="n"/>
      <c r="D25" s="219" t="n"/>
      <c r="E25" s="217" t="inlineStr">
        <is>
          <t>BRANCO</t>
        </is>
      </c>
      <c r="F25" s="218" t="n"/>
      <c r="G25" s="218" t="n"/>
      <c r="H25" s="219" t="n"/>
      <c r="I25" s="1" t="n">
        <v>73</v>
      </c>
      <c r="J25" s="219" t="n"/>
      <c r="K25" s="1" t="n">
        <v>77</v>
      </c>
      <c r="L25" s="1">
        <f>MIN(I25:K25)</f>
        <v/>
      </c>
      <c r="M25" s="218" t="n"/>
      <c r="N25" s="218" t="n"/>
      <c r="O25" s="219" t="n"/>
    </row>
    <row r="26">
      <c r="A26" s="220" t="n"/>
      <c r="B26" s="225" t="n"/>
      <c r="C26" s="214" t="n"/>
      <c r="D26" s="214" t="n"/>
      <c r="E26" s="214" t="n"/>
      <c r="F26" s="214" t="n"/>
      <c r="G26" s="214" t="n"/>
      <c r="H26" s="214" t="n"/>
      <c r="I26" s="214" t="n"/>
      <c r="J26" s="214" t="n"/>
      <c r="K26" s="214" t="n"/>
      <c r="L26" s="214" t="n"/>
      <c r="M26" s="214" t="n"/>
      <c r="N26" s="214" t="n"/>
      <c r="O26" s="212" t="n"/>
    </row>
    <row r="27">
      <c r="A27" s="220" t="n"/>
      <c r="B27" s="222" t="inlineStr">
        <is>
          <t>O01030CC</t>
        </is>
      </c>
      <c r="C27" s="223" t="n"/>
      <c r="D27" s="224" t="n"/>
      <c r="E27" s="222" t="inlineStr">
        <is>
          <t>CASTANHO</t>
        </is>
      </c>
      <c r="F27" s="223" t="n"/>
      <c r="G27" s="223" t="n"/>
      <c r="H27" s="224" t="n"/>
      <c r="I27" s="3" t="n">
        <v>29</v>
      </c>
      <c r="J27" s="224" t="n"/>
      <c r="K27" s="3" t="n">
        <v>32</v>
      </c>
      <c r="L27" s="1">
        <f>MIN(I27:K27)</f>
        <v/>
      </c>
      <c r="M27" s="218" t="n"/>
      <c r="N27" s="218" t="n"/>
      <c r="O27" s="219" t="n"/>
    </row>
    <row r="28">
      <c r="A28" s="220" t="n"/>
      <c r="B28" s="225" t="n"/>
      <c r="C28" s="214" t="n"/>
      <c r="D28" s="214" t="n"/>
      <c r="E28" s="214" t="n"/>
      <c r="F28" s="214" t="n"/>
      <c r="G28" s="214" t="n"/>
      <c r="H28" s="214" t="n"/>
      <c r="I28" s="214" t="n"/>
      <c r="J28" s="214" t="n"/>
      <c r="K28" s="214" t="n"/>
      <c r="L28" s="214" t="n"/>
      <c r="M28" s="214" t="n"/>
      <c r="N28" s="214" t="n"/>
      <c r="O28" s="212" t="n"/>
    </row>
    <row r="29">
      <c r="A29" s="226" t="n"/>
      <c r="B29" s="227" t="inlineStr">
        <is>
          <t>O01030ML</t>
        </is>
      </c>
      <c r="C29" s="228" t="n"/>
      <c r="D29" s="229" t="n"/>
      <c r="E29" s="227" t="inlineStr">
        <is>
          <t>MEL</t>
        </is>
      </c>
      <c r="F29" s="228" t="n"/>
      <c r="G29" s="228" t="n"/>
      <c r="H29" s="229" t="n"/>
      <c r="I29" s="4" t="n">
        <v>31</v>
      </c>
      <c r="J29" s="229" t="n"/>
      <c r="K29" s="4" t="n">
        <v>30</v>
      </c>
      <c r="L29" s="2">
        <f>MIN(I29:K29)</f>
        <v/>
      </c>
      <c r="M29" s="214" t="n"/>
      <c r="N29" s="214" t="n"/>
      <c r="O29" s="212" t="n"/>
    </row>
    <row r="30">
      <c r="A30" s="7" t="n"/>
      <c r="I30" s="77" t="inlineStr">
        <is>
          <t>V1</t>
        </is>
      </c>
      <c r="J30" s="230" t="n"/>
    </row>
    <row r="31">
      <c r="A31" s="21" t="n"/>
      <c r="I31" s="89" t="inlineStr">
        <is>
          <t>ÚNICO</t>
        </is>
      </c>
      <c r="J31" s="210" t="n"/>
    </row>
    <row r="32">
      <c r="A32" s="244" t="inlineStr">
        <is>
          <t>AUXILIAR CASAL</t>
        </is>
      </c>
      <c r="B32" s="217" t="inlineStr">
        <is>
          <t>O00246BR</t>
        </is>
      </c>
      <c r="C32" s="218" t="n"/>
      <c r="D32" s="219" t="n"/>
      <c r="E32" s="217" t="inlineStr">
        <is>
          <t>BRANCO</t>
        </is>
      </c>
      <c r="F32" s="218" t="n"/>
      <c r="G32" s="218" t="n"/>
      <c r="H32" s="219" t="n"/>
      <c r="I32" s="1" t="n">
        <v>55</v>
      </c>
      <c r="J32" s="219" t="n"/>
      <c r="K32" s="170" t="n"/>
    </row>
    <row r="33">
      <c r="A33" s="220" t="n"/>
      <c r="B33" s="225" t="n"/>
      <c r="C33" s="214" t="n"/>
      <c r="D33" s="214" t="n"/>
      <c r="E33" s="214" t="n"/>
      <c r="F33" s="214" t="n"/>
      <c r="G33" s="214" t="n"/>
      <c r="H33" s="214" t="n"/>
      <c r="I33" s="214" t="n"/>
      <c r="J33" s="212" t="n"/>
      <c r="K33" s="245" t="n"/>
    </row>
    <row r="34">
      <c r="A34" s="220" t="n"/>
      <c r="B34" s="222" t="inlineStr">
        <is>
          <t>O00246CC</t>
        </is>
      </c>
      <c r="C34" s="223" t="n"/>
      <c r="D34" s="224" t="n"/>
      <c r="E34" s="222" t="inlineStr">
        <is>
          <t>CASTANHO</t>
        </is>
      </c>
      <c r="F34" s="223" t="n"/>
      <c r="G34" s="223" t="n"/>
      <c r="H34" s="224" t="n"/>
      <c r="I34" s="3" t="n">
        <v>98</v>
      </c>
      <c r="J34" s="224" t="n"/>
      <c r="K34" s="245" t="n"/>
    </row>
    <row r="35">
      <c r="A35" s="220" t="n"/>
      <c r="B35" s="225" t="n"/>
      <c r="C35" s="214" t="n"/>
      <c r="D35" s="214" t="n"/>
      <c r="E35" s="214" t="n"/>
      <c r="F35" s="214" t="n"/>
      <c r="G35" s="214" t="n"/>
      <c r="H35" s="214" t="n"/>
      <c r="I35" s="214" t="n"/>
      <c r="J35" s="212" t="n"/>
      <c r="K35" s="245" t="n"/>
    </row>
    <row r="36">
      <c r="A36" s="220" t="n"/>
      <c r="B36" s="227" t="inlineStr">
        <is>
          <t>O00246ML</t>
        </is>
      </c>
      <c r="C36" s="228" t="n"/>
      <c r="D36" s="229" t="n"/>
      <c r="E36" s="227" t="inlineStr">
        <is>
          <t>MEL</t>
        </is>
      </c>
      <c r="F36" s="228" t="n"/>
      <c r="G36" s="228" t="n"/>
      <c r="H36" s="229" t="n"/>
      <c r="I36" s="4" t="n">
        <v>25</v>
      </c>
      <c r="J36" s="229" t="n"/>
      <c r="K36" s="245" t="n"/>
    </row>
    <row r="37" ht="12.75" customHeight="1" s="209">
      <c r="A37" s="220" t="n"/>
      <c r="B37" s="26" t="n"/>
      <c r="C37" s="23" t="n"/>
      <c r="D37" s="23" t="n"/>
      <c r="E37" s="23" t="n"/>
      <c r="F37" s="23" t="n"/>
      <c r="G37" s="23" t="n"/>
      <c r="H37" s="23" t="n"/>
      <c r="I37" s="92" t="inlineStr">
        <is>
          <t>V1</t>
        </is>
      </c>
      <c r="J37" s="214" t="n"/>
      <c r="K37" s="93" t="inlineStr">
        <is>
          <t>V2</t>
        </is>
      </c>
      <c r="L37" s="93" t="inlineStr">
        <is>
          <t>TOTAL</t>
        </is>
      </c>
      <c r="M37" s="210" t="n"/>
      <c r="N37" s="210" t="n"/>
      <c r="O37" s="210" t="n"/>
    </row>
    <row r="38">
      <c r="A38" s="220" t="n"/>
      <c r="B38" s="217" t="inlineStr">
        <is>
          <t>O01046BR</t>
        </is>
      </c>
      <c r="C38" s="218" t="n"/>
      <c r="D38" s="219" t="n"/>
      <c r="E38" s="217" t="inlineStr">
        <is>
          <t>BRANCO</t>
        </is>
      </c>
      <c r="F38" s="218" t="n"/>
      <c r="G38" s="218" t="n"/>
      <c r="H38" s="219" t="n"/>
      <c r="I38" s="1" t="n">
        <v>30</v>
      </c>
      <c r="J38" s="219" t="n"/>
      <c r="K38" s="1" t="n">
        <v>29</v>
      </c>
      <c r="L38" s="1">
        <f>MIN(I38:K38)</f>
        <v/>
      </c>
      <c r="M38" s="218" t="n"/>
      <c r="N38" s="218" t="n"/>
      <c r="O38" s="219" t="n"/>
    </row>
    <row r="39">
      <c r="A39" s="220" t="n"/>
      <c r="B39" s="225" t="n"/>
      <c r="C39" s="214" t="n"/>
      <c r="D39" s="214" t="n"/>
      <c r="E39" s="214" t="n"/>
      <c r="F39" s="214" t="n"/>
      <c r="G39" s="214" t="n"/>
      <c r="H39" s="214" t="n"/>
      <c r="I39" s="214" t="n"/>
      <c r="J39" s="214" t="n"/>
      <c r="K39" s="214" t="n"/>
      <c r="L39" s="214" t="n"/>
      <c r="M39" s="214" t="n"/>
      <c r="N39" s="214" t="n"/>
      <c r="O39" s="212" t="n"/>
    </row>
    <row r="40">
      <c r="A40" s="220" t="n"/>
      <c r="B40" s="222" t="inlineStr">
        <is>
          <t>O01046CC</t>
        </is>
      </c>
      <c r="C40" s="223" t="n"/>
      <c r="D40" s="224" t="n"/>
      <c r="E40" s="222" t="inlineStr">
        <is>
          <t>CASTANHO</t>
        </is>
      </c>
      <c r="F40" s="223" t="n"/>
      <c r="G40" s="223" t="n"/>
      <c r="H40" s="224" t="n"/>
      <c r="I40" s="3" t="n">
        <v>42</v>
      </c>
      <c r="J40" s="224" t="n"/>
      <c r="K40" s="3" t="n">
        <v>41</v>
      </c>
      <c r="L40" s="1">
        <f>MIN(I40:K40)</f>
        <v/>
      </c>
      <c r="M40" s="218" t="n"/>
      <c r="N40" s="218" t="n"/>
      <c r="O40" s="219" t="n"/>
    </row>
    <row r="41">
      <c r="A41" s="220" t="n"/>
      <c r="B41" s="225" t="n"/>
      <c r="C41" s="214" t="n"/>
      <c r="D41" s="214" t="n"/>
      <c r="E41" s="214" t="n"/>
      <c r="F41" s="214" t="n"/>
      <c r="G41" s="214" t="n"/>
      <c r="H41" s="214" t="n"/>
      <c r="I41" s="214" t="n"/>
      <c r="J41" s="214" t="n"/>
      <c r="K41" s="214" t="n"/>
      <c r="L41" s="214" t="n"/>
      <c r="M41" s="214" t="n"/>
      <c r="N41" s="214" t="n"/>
      <c r="O41" s="212" t="n"/>
    </row>
    <row r="42">
      <c r="A42" s="226" t="n"/>
      <c r="B42" s="227" t="inlineStr">
        <is>
          <t>O01046ML</t>
        </is>
      </c>
      <c r="C42" s="228" t="n"/>
      <c r="D42" s="229" t="n"/>
      <c r="E42" s="227" t="inlineStr">
        <is>
          <t>MEL</t>
        </is>
      </c>
      <c r="F42" s="228" t="n"/>
      <c r="G42" s="228" t="n"/>
      <c r="H42" s="229" t="n"/>
      <c r="I42" s="4" t="n">
        <v>25</v>
      </c>
      <c r="J42" s="229" t="n"/>
      <c r="K42" s="4" t="n">
        <v>24</v>
      </c>
      <c r="L42" s="2">
        <f>MIN(I42:K42)</f>
        <v/>
      </c>
      <c r="M42" s="214" t="n"/>
      <c r="N42" s="214" t="n"/>
      <c r="O42" s="212" t="n"/>
    </row>
    <row r="43" ht="12.75" customHeight="1" s="209">
      <c r="A43" s="172" t="n"/>
      <c r="B43" s="172" t="n"/>
      <c r="E43" s="172" t="n"/>
      <c r="G43" s="29" t="n"/>
      <c r="H43" s="29" t="n"/>
      <c r="I43" s="176" t="inlineStr">
        <is>
          <t>V1</t>
        </is>
      </c>
      <c r="J43" s="230" t="n"/>
      <c r="K43" s="31" t="inlineStr">
        <is>
          <t>V2</t>
        </is>
      </c>
      <c r="L43" s="176" t="inlineStr">
        <is>
          <t>V3</t>
        </is>
      </c>
      <c r="M43" s="230" t="n"/>
      <c r="N43" s="230" t="n"/>
      <c r="O43" s="172" t="n"/>
      <c r="P43" s="29" t="n"/>
      <c r="Q43" s="29" t="n"/>
      <c r="R43" s="29" t="n"/>
      <c r="S43" s="29" t="n"/>
      <c r="T43" s="29" t="n"/>
      <c r="U43" s="29" t="n"/>
      <c r="V43" s="29" t="n"/>
    </row>
    <row r="44">
      <c r="A44" s="173" t="n"/>
      <c r="B44" s="173" t="n"/>
      <c r="E44" s="173" t="n"/>
      <c r="G44" s="28" t="n"/>
      <c r="H44" s="28" t="n"/>
      <c r="I44" s="99" t="inlineStr">
        <is>
          <t>PAINEL</t>
        </is>
      </c>
      <c r="J44" s="210" t="n"/>
      <c r="K44" s="30" t="inlineStr">
        <is>
          <t>PÉS</t>
        </is>
      </c>
      <c r="L44" s="99" t="inlineStr">
        <is>
          <t>BARRAS</t>
        </is>
      </c>
      <c r="M44" s="210" t="n"/>
      <c r="N44" s="210" t="n"/>
      <c r="O44" s="175" t="inlineStr">
        <is>
          <t>TOTAL</t>
        </is>
      </c>
      <c r="P44" s="210" t="n"/>
      <c r="Q44" s="210" t="n"/>
      <c r="R44" s="210" t="n"/>
      <c r="S44" s="28" t="n"/>
      <c r="T44" s="28" t="n"/>
      <c r="U44" s="28" t="n"/>
      <c r="V44" s="28" t="n"/>
    </row>
    <row r="45">
      <c r="A45" s="36" t="inlineStr">
        <is>
          <t>CAMA SOLTEIRO</t>
        </is>
      </c>
      <c r="B45" s="231" t="inlineStr">
        <is>
          <t>C72330BR</t>
        </is>
      </c>
      <c r="C45" s="230" t="n"/>
      <c r="D45" s="232" t="n"/>
      <c r="E45" s="231" t="inlineStr">
        <is>
          <t>BRANCO</t>
        </is>
      </c>
      <c r="F45" s="230" t="n"/>
      <c r="G45" s="230" t="n"/>
      <c r="H45" s="232" t="n"/>
      <c r="I45" s="11" t="n">
        <v>38</v>
      </c>
      <c r="J45" s="232" t="n"/>
      <c r="K45" s="11" t="n">
        <v>72</v>
      </c>
      <c r="L45" s="11" t="n">
        <v>11</v>
      </c>
      <c r="M45" s="230" t="n"/>
      <c r="N45" s="232" t="n"/>
      <c r="O45" s="11">
        <f>MIN(I45:N45)</f>
        <v/>
      </c>
      <c r="P45" s="230" t="n"/>
      <c r="Q45" s="230" t="n"/>
      <c r="R45" s="232" t="n"/>
    </row>
    <row r="46">
      <c r="A46" s="220" t="n"/>
      <c r="B46" s="246" t="n"/>
      <c r="C46" s="214" t="n"/>
      <c r="D46" s="214" t="n"/>
      <c r="E46" s="214" t="n"/>
      <c r="F46" s="214" t="n"/>
      <c r="G46" s="214" t="n"/>
      <c r="H46" s="214" t="n"/>
      <c r="I46" s="214" t="n"/>
      <c r="J46" s="214" t="n"/>
      <c r="K46" s="214" t="n"/>
      <c r="L46" s="214" t="n"/>
      <c r="M46" s="214" t="n"/>
      <c r="N46" s="214" t="n"/>
      <c r="O46" s="214" t="n"/>
      <c r="P46" s="214" t="n"/>
      <c r="Q46" s="214" t="n"/>
      <c r="R46" s="212" t="n"/>
    </row>
    <row r="47">
      <c r="A47" s="226" t="n"/>
      <c r="B47" s="243" t="inlineStr">
        <is>
          <t>C72330CC</t>
        </is>
      </c>
      <c r="C47" s="210" t="n"/>
      <c r="D47" s="211" t="n"/>
      <c r="E47" s="243" t="inlineStr">
        <is>
          <t>CASTANHO</t>
        </is>
      </c>
      <c r="F47" s="210" t="n"/>
      <c r="G47" s="210" t="n"/>
      <c r="H47" s="211" t="n"/>
      <c r="I47" s="13" t="n">
        <v>27</v>
      </c>
      <c r="J47" s="211" t="n"/>
      <c r="K47" s="13" t="n">
        <v>48</v>
      </c>
      <c r="L47" s="13" t="n">
        <v>49</v>
      </c>
      <c r="M47" s="210" t="n"/>
      <c r="N47" s="211" t="n"/>
      <c r="O47" s="11">
        <f>MIN(I47:N47)</f>
        <v/>
      </c>
      <c r="P47" s="230" t="n"/>
      <c r="Q47" s="230" t="n"/>
      <c r="R47" s="232" t="n"/>
    </row>
    <row r="48">
      <c r="A48" s="10" t="n"/>
      <c r="B48" s="186" t="n"/>
      <c r="C48" s="186" t="n"/>
      <c r="D48" s="186" t="n"/>
      <c r="E48" s="186" t="n"/>
      <c r="F48" s="186" t="n"/>
      <c r="G48" s="186" t="n"/>
      <c r="H48" s="186" t="n"/>
      <c r="I48" s="32" t="n"/>
      <c r="J48" s="32" t="n"/>
      <c r="K48" s="116" t="n"/>
      <c r="L48" s="116" t="n"/>
      <c r="M48" s="116" t="n"/>
      <c r="N48" s="116" t="n"/>
      <c r="O48" s="116" t="n"/>
      <c r="P48" s="116" t="n"/>
      <c r="Q48" s="116" t="n"/>
      <c r="R48" s="116" t="n"/>
    </row>
    <row r="49">
      <c r="A49" s="36" t="inlineStr">
        <is>
          <t>CAMA CASAL</t>
        </is>
      </c>
      <c r="B49" s="231" t="inlineStr">
        <is>
          <t>C72346BR</t>
        </is>
      </c>
      <c r="C49" s="230" t="n"/>
      <c r="D49" s="232" t="n"/>
      <c r="E49" s="231" t="inlineStr">
        <is>
          <t>BRANCO</t>
        </is>
      </c>
      <c r="F49" s="230" t="n"/>
      <c r="G49" s="230" t="n"/>
      <c r="H49" s="232" t="n"/>
      <c r="I49" s="11" t="n">
        <v>57</v>
      </c>
      <c r="J49" s="232" t="n"/>
      <c r="K49" s="11" t="n">
        <v>72</v>
      </c>
      <c r="L49" s="11" t="n">
        <v>61</v>
      </c>
      <c r="M49" s="230" t="n"/>
      <c r="N49" s="232" t="n"/>
      <c r="O49" s="11">
        <f>MIN(I49:N49)</f>
        <v/>
      </c>
      <c r="P49" s="230" t="n"/>
      <c r="Q49" s="230" t="n"/>
      <c r="R49" s="232" t="n"/>
    </row>
    <row r="50">
      <c r="A50" s="220" t="n"/>
      <c r="B50" s="246" t="n"/>
      <c r="C50" s="214" t="n"/>
      <c r="D50" s="214" t="n"/>
      <c r="E50" s="214" t="n"/>
      <c r="F50" s="214" t="n"/>
      <c r="G50" s="214" t="n"/>
      <c r="H50" s="214" t="n"/>
      <c r="I50" s="214" t="n"/>
      <c r="J50" s="214" t="n"/>
      <c r="K50" s="214" t="n"/>
      <c r="L50" s="214" t="n"/>
      <c r="M50" s="214" t="n"/>
      <c r="N50" s="214" t="n"/>
      <c r="O50" s="214" t="n"/>
      <c r="P50" s="214" t="n"/>
      <c r="Q50" s="214" t="n"/>
      <c r="R50" s="212" t="n"/>
    </row>
    <row r="51">
      <c r="A51" s="226" t="n"/>
      <c r="B51" s="243" t="inlineStr">
        <is>
          <t>C72346CC</t>
        </is>
      </c>
      <c r="C51" s="210" t="n"/>
      <c r="D51" s="211" t="n"/>
      <c r="E51" s="243" t="inlineStr">
        <is>
          <t>CASTANHO</t>
        </is>
      </c>
      <c r="F51" s="210" t="n"/>
      <c r="G51" s="210" t="n"/>
      <c r="H51" s="211" t="n"/>
      <c r="I51" s="13" t="n">
        <v>35</v>
      </c>
      <c r="J51" s="211" t="n"/>
      <c r="K51" s="13" t="n">
        <v>55</v>
      </c>
      <c r="L51" s="13" t="n">
        <v>19</v>
      </c>
      <c r="M51" s="210" t="n"/>
      <c r="N51" s="211" t="n"/>
      <c r="O51" s="2">
        <f>MIN(I51:N51)</f>
        <v/>
      </c>
      <c r="P51" s="214" t="n"/>
      <c r="Q51" s="214" t="n"/>
      <c r="R51" s="212" t="n"/>
    </row>
    <row r="52">
      <c r="A52" s="33" t="n"/>
      <c r="I52" s="77" t="inlineStr">
        <is>
          <t>V1</t>
        </is>
      </c>
      <c r="J52" s="230" t="n"/>
      <c r="K52" s="35" t="inlineStr">
        <is>
          <t>V2</t>
        </is>
      </c>
      <c r="L52" s="77" t="n"/>
      <c r="M52" s="230" t="n"/>
      <c r="N52" s="230" t="n"/>
      <c r="O52" s="230" t="n"/>
    </row>
    <row r="53">
      <c r="I53" s="75" t="inlineStr">
        <is>
          <t>CABECEIRAS</t>
        </is>
      </c>
      <c r="J53" s="210" t="n"/>
      <c r="K53" s="34" t="inlineStr">
        <is>
          <t>BARRAS</t>
        </is>
      </c>
      <c r="L53" s="76" t="inlineStr">
        <is>
          <t>TOTAL</t>
        </is>
      </c>
      <c r="M53" s="210" t="n"/>
      <c r="N53" s="210" t="n"/>
      <c r="O53" s="210" t="n"/>
    </row>
    <row r="54">
      <c r="A54" s="247" t="inlineStr">
        <is>
          <t>BICAMAS</t>
        </is>
      </c>
      <c r="B54" s="231" t="inlineStr">
        <is>
          <t>O005BR</t>
        </is>
      </c>
      <c r="C54" s="230" t="n"/>
      <c r="D54" s="232" t="n"/>
      <c r="E54" s="231" t="inlineStr">
        <is>
          <t>BRANCO</t>
        </is>
      </c>
      <c r="F54" s="230" t="n"/>
      <c r="G54" s="230" t="n"/>
      <c r="H54" s="232" t="n"/>
      <c r="I54" s="11" t="n">
        <v>46</v>
      </c>
      <c r="J54" s="232" t="n"/>
      <c r="K54" s="11" t="n">
        <v>46</v>
      </c>
      <c r="L54" s="11">
        <f>MIN(I54:K54)</f>
        <v/>
      </c>
      <c r="M54" s="230" t="n"/>
      <c r="N54" s="230" t="n"/>
      <c r="O54" s="232" t="n"/>
    </row>
    <row r="55">
      <c r="A55" s="220" t="n"/>
      <c r="B55" s="246" t="n"/>
      <c r="C55" s="214" t="n"/>
      <c r="D55" s="214" t="n"/>
      <c r="E55" s="214" t="n"/>
      <c r="F55" s="214" t="n"/>
      <c r="G55" s="214" t="n"/>
      <c r="H55" s="214" t="n"/>
      <c r="I55" s="214" t="n"/>
      <c r="J55" s="214" t="n"/>
      <c r="K55" s="214" t="n"/>
      <c r="L55" s="214" t="n"/>
      <c r="M55" s="214" t="n"/>
      <c r="N55" s="214" t="n"/>
      <c r="O55" s="212" t="n"/>
    </row>
    <row r="56">
      <c r="A56" s="220" t="n"/>
      <c r="B56" s="248" t="inlineStr">
        <is>
          <t>O005CC</t>
        </is>
      </c>
      <c r="D56" s="239" t="n"/>
      <c r="E56" s="248" t="inlineStr">
        <is>
          <t>CASTANHO</t>
        </is>
      </c>
      <c r="H56" s="239" t="n"/>
      <c r="I56" s="12" t="n">
        <v>60</v>
      </c>
      <c r="J56" s="239" t="n"/>
      <c r="K56" s="12" t="n">
        <v>60</v>
      </c>
      <c r="L56" s="11">
        <f>MIN(I56:K56)</f>
        <v/>
      </c>
      <c r="M56" s="230" t="n"/>
      <c r="N56" s="230" t="n"/>
      <c r="O56" s="232" t="n"/>
    </row>
    <row r="57">
      <c r="A57" s="220" t="n"/>
      <c r="B57" s="246" t="n"/>
      <c r="C57" s="214" t="n"/>
      <c r="D57" s="214" t="n"/>
      <c r="E57" s="214" t="n"/>
      <c r="F57" s="214" t="n"/>
      <c r="G57" s="214" t="n"/>
      <c r="H57" s="214" t="n"/>
      <c r="I57" s="214" t="n"/>
      <c r="J57" s="214" t="n"/>
      <c r="K57" s="214" t="n"/>
      <c r="L57" s="214" t="n"/>
      <c r="M57" s="214" t="n"/>
      <c r="N57" s="214" t="n"/>
      <c r="O57" s="212" t="n"/>
    </row>
    <row r="58">
      <c r="A58" s="220" t="n"/>
      <c r="B58" s="248" t="inlineStr">
        <is>
          <t>O005ML</t>
        </is>
      </c>
      <c r="D58" s="239" t="n"/>
      <c r="E58" s="248" t="inlineStr">
        <is>
          <t>MEL</t>
        </is>
      </c>
      <c r="H58" s="239" t="n"/>
      <c r="I58" s="12" t="n">
        <v>6</v>
      </c>
      <c r="J58" s="239" t="n"/>
      <c r="K58" s="12" t="n">
        <v>6</v>
      </c>
      <c r="L58" s="11">
        <f>MIN(I58:K58)</f>
        <v/>
      </c>
      <c r="M58" s="230" t="n"/>
      <c r="N58" s="230" t="n"/>
      <c r="O58" s="232" t="n"/>
    </row>
    <row r="59">
      <c r="A59" s="220" t="n"/>
      <c r="B59" s="246" t="n"/>
      <c r="C59" s="214" t="n"/>
      <c r="D59" s="214" t="n"/>
      <c r="E59" s="214" t="n"/>
      <c r="F59" s="214" t="n"/>
      <c r="G59" s="214" t="n"/>
      <c r="H59" s="214" t="n"/>
      <c r="I59" s="214" t="n"/>
      <c r="J59" s="214" t="n"/>
      <c r="K59" s="214" t="n"/>
      <c r="L59" s="214" t="n"/>
      <c r="M59" s="214" t="n"/>
      <c r="N59" s="214" t="n"/>
      <c r="O59" s="212" t="n"/>
    </row>
    <row r="60">
      <c r="A60" s="220" t="n"/>
      <c r="B60" s="248" t="inlineStr">
        <is>
          <t>O016BR</t>
        </is>
      </c>
      <c r="D60" s="239" t="n"/>
      <c r="E60" s="248" t="inlineStr">
        <is>
          <t>BRANCO</t>
        </is>
      </c>
      <c r="H60" s="239" t="n"/>
      <c r="I60" s="12" t="n">
        <v>4</v>
      </c>
      <c r="J60" s="239" t="n"/>
      <c r="K60" s="12" t="n">
        <v>12</v>
      </c>
      <c r="L60" s="11">
        <f>MIN(I60:K60)</f>
        <v/>
      </c>
      <c r="M60" s="230" t="n"/>
      <c r="N60" s="230" t="n"/>
      <c r="O60" s="232" t="n"/>
    </row>
    <row r="61">
      <c r="A61" s="220" t="n"/>
      <c r="B61" s="246" t="n"/>
      <c r="C61" s="214" t="n"/>
      <c r="D61" s="214" t="n"/>
      <c r="E61" s="214" t="n"/>
      <c r="F61" s="214" t="n"/>
      <c r="G61" s="214" t="n"/>
      <c r="H61" s="214" t="n"/>
      <c r="I61" s="214" t="n"/>
      <c r="J61" s="214" t="n"/>
      <c r="K61" s="214" t="n"/>
      <c r="L61" s="214" t="n"/>
      <c r="M61" s="214" t="n"/>
      <c r="N61" s="214" t="n"/>
      <c r="O61" s="212" t="n"/>
    </row>
    <row r="62">
      <c r="A62" s="226" t="n"/>
      <c r="B62" s="243" t="inlineStr">
        <is>
          <t>O016BR/CC</t>
        </is>
      </c>
      <c r="C62" s="210" t="n"/>
      <c r="D62" s="211" t="n"/>
      <c r="E62" s="249" t="inlineStr">
        <is>
          <t>BRANCO/CASTANHO</t>
        </is>
      </c>
      <c r="F62" s="210" t="n"/>
      <c r="G62" s="210" t="n"/>
      <c r="H62" s="211" t="n"/>
      <c r="I62" s="55" t="n">
        <v>9</v>
      </c>
      <c r="J62" s="211" t="n"/>
      <c r="K62" s="55" t="n">
        <v>0</v>
      </c>
      <c r="L62" s="2">
        <f>MIN(I62:K62)</f>
        <v/>
      </c>
      <c r="M62" s="214" t="n"/>
      <c r="N62" s="214" t="n"/>
      <c r="O62" s="212" t="n"/>
    </row>
    <row r="63">
      <c r="I63" s="183" t="inlineStr">
        <is>
          <t>V1</t>
        </is>
      </c>
      <c r="J63" s="214" t="n"/>
      <c r="K63" s="35" t="inlineStr">
        <is>
          <t>V2</t>
        </is>
      </c>
      <c r="L63" s="183" t="inlineStr">
        <is>
          <t>V3</t>
        </is>
      </c>
      <c r="M63" s="214" t="n"/>
      <c r="N63" s="214" t="n"/>
      <c r="O63" s="76" t="inlineStr">
        <is>
          <t>V4</t>
        </is>
      </c>
      <c r="P63" s="210" t="n"/>
      <c r="Q63" s="210" t="n"/>
      <c r="R63" s="76" t="inlineStr">
        <is>
          <t>V5 01</t>
        </is>
      </c>
      <c r="S63" s="210" t="n"/>
      <c r="T63" s="76" t="inlineStr">
        <is>
          <t>V5 02</t>
        </is>
      </c>
      <c r="U63" s="210" t="n"/>
    </row>
    <row r="64" ht="18" customHeight="1" s="209">
      <c r="A64" s="79" t="inlineStr">
        <is>
          <t>GRUPO            PRODUTO   COR</t>
        </is>
      </c>
      <c r="B64" s="210" t="n"/>
      <c r="C64" s="210" t="n"/>
      <c r="D64" s="210" t="n"/>
      <c r="E64" s="210" t="n"/>
      <c r="F64" s="210" t="n"/>
      <c r="G64" s="210" t="n"/>
      <c r="H64" s="211" t="n"/>
      <c r="I64" s="250" t="inlineStr">
        <is>
          <t>GRADE CASAL</t>
        </is>
      </c>
      <c r="J64" s="212" t="n"/>
      <c r="K64" s="36" t="inlineStr">
        <is>
          <t>GRADE SOLT</t>
        </is>
      </c>
      <c r="L64" s="215" t="inlineStr">
        <is>
          <t>PÉS</t>
        </is>
      </c>
      <c r="M64" s="214" t="n"/>
      <c r="N64" s="212" t="n"/>
      <c r="O64" s="215" t="inlineStr">
        <is>
          <t>BARRA</t>
        </is>
      </c>
      <c r="P64" s="214" t="n"/>
      <c r="Q64" s="212" t="n"/>
      <c r="R64" s="215" t="inlineStr">
        <is>
          <t>ESCADA</t>
        </is>
      </c>
      <c r="S64" s="212" t="n"/>
      <c r="T64" s="215" t="inlineStr">
        <is>
          <t>ESCADA</t>
        </is>
      </c>
      <c r="U64" s="214" t="n"/>
      <c r="V64" s="212" t="n"/>
      <c r="W64" s="37" t="inlineStr">
        <is>
          <t>TOTAL</t>
        </is>
      </c>
      <c r="X64" s="212" t="n"/>
      <c r="Y64" s="36" t="inlineStr">
        <is>
          <t>TOTAL 01</t>
        </is>
      </c>
      <c r="Z64" s="214" t="n"/>
      <c r="AA64" s="214" t="n"/>
      <c r="AB64" s="212" t="n"/>
      <c r="AC64" s="36" t="inlineStr">
        <is>
          <t>TOTAL 02</t>
        </is>
      </c>
      <c r="AD64" s="214" t="n"/>
      <c r="AE64" s="212" t="n"/>
    </row>
    <row r="65">
      <c r="A65" s="251" t="inlineStr">
        <is>
          <t>TWIN FULL</t>
        </is>
      </c>
      <c r="B65" s="252" t="inlineStr">
        <is>
          <t>B142BR</t>
        </is>
      </c>
      <c r="C65" s="214" t="n"/>
      <c r="D65" s="212" t="n"/>
      <c r="E65" s="252" t="inlineStr">
        <is>
          <t>BRANCO</t>
        </is>
      </c>
      <c r="F65" s="214" t="n"/>
      <c r="G65" s="214" t="n"/>
      <c r="H65" s="212" t="n"/>
      <c r="I65" s="2" t="n">
        <v>25</v>
      </c>
      <c r="J65" s="212" t="n"/>
      <c r="K65" s="2" t="n">
        <v>25</v>
      </c>
      <c r="L65" s="2" t="n">
        <v>23</v>
      </c>
      <c r="M65" s="214" t="n"/>
      <c r="N65" s="212" t="n"/>
      <c r="O65" s="2" t="n">
        <v>44</v>
      </c>
      <c r="P65" s="214" t="n"/>
      <c r="Q65" s="212" t="n"/>
      <c r="R65" s="2" t="n">
        <v>72</v>
      </c>
      <c r="S65" s="212" t="n"/>
      <c r="T65" s="2" t="n">
        <v>99</v>
      </c>
      <c r="U65" s="214" t="n"/>
      <c r="V65" s="212" t="n"/>
      <c r="W65" s="2">
        <f>MIN(I65:Q65)</f>
        <v/>
      </c>
      <c r="X65" s="212" t="n"/>
      <c r="Y65" s="2">
        <f>MIN(I65:S65)</f>
        <v/>
      </c>
      <c r="Z65" s="214" t="n"/>
      <c r="AA65" s="214" t="n"/>
      <c r="AB65" s="212" t="n"/>
      <c r="AC65" s="2">
        <f>MIN(I65:Q65,T65)</f>
        <v/>
      </c>
      <c r="AD65" s="214" t="n"/>
      <c r="AE65" s="212" t="n"/>
    </row>
    <row r="66">
      <c r="A66" s="220" t="n"/>
      <c r="B66" s="225" t="n"/>
      <c r="C66" s="214" t="n"/>
      <c r="D66" s="214" t="n"/>
      <c r="E66" s="214" t="n"/>
      <c r="F66" s="214" t="n"/>
      <c r="G66" s="214" t="n"/>
      <c r="H66" s="214" t="n"/>
      <c r="I66" s="214" t="n"/>
      <c r="J66" s="214" t="n"/>
      <c r="K66" s="214" t="n"/>
      <c r="L66" s="214" t="n"/>
      <c r="M66" s="214" t="n"/>
      <c r="N66" s="214" t="n"/>
      <c r="O66" s="214" t="n"/>
      <c r="P66" s="214" t="n"/>
      <c r="Q66" s="214" t="n"/>
      <c r="R66" s="214" t="n"/>
      <c r="S66" s="214" t="n"/>
      <c r="T66" s="214" t="n"/>
      <c r="U66" s="214" t="n"/>
      <c r="V66" s="212" t="n"/>
      <c r="W66" s="225" t="n"/>
      <c r="X66" s="212" t="n"/>
      <c r="Y66" s="225" t="n"/>
      <c r="Z66" s="214" t="n"/>
      <c r="AA66" s="214" t="n"/>
      <c r="AB66" s="212" t="n"/>
      <c r="AC66" s="225" t="n"/>
      <c r="AD66" s="214" t="n"/>
      <c r="AE66" s="212" t="n"/>
    </row>
    <row r="67">
      <c r="A67" s="220" t="n"/>
      <c r="B67" s="252" t="inlineStr">
        <is>
          <t>B142CC</t>
        </is>
      </c>
      <c r="C67" s="214" t="n"/>
      <c r="D67" s="212" t="n"/>
      <c r="E67" s="252" t="inlineStr">
        <is>
          <t>CASTANHO</t>
        </is>
      </c>
      <c r="F67" s="214" t="n"/>
      <c r="G67" s="214" t="n"/>
      <c r="H67" s="212" t="n"/>
      <c r="I67" s="2" t="n">
        <v>47</v>
      </c>
      <c r="J67" s="212" t="n"/>
      <c r="K67" s="2" t="n">
        <v>47</v>
      </c>
      <c r="L67" s="2" t="n">
        <v>46</v>
      </c>
      <c r="M67" s="214" t="n"/>
      <c r="N67" s="212" t="n"/>
      <c r="O67" s="2" t="n">
        <v>48</v>
      </c>
      <c r="P67" s="214" t="n"/>
      <c r="Q67" s="212" t="n"/>
      <c r="R67" s="2" t="n">
        <v>70</v>
      </c>
      <c r="S67" s="212" t="n"/>
      <c r="T67" s="2" t="n">
        <v>164</v>
      </c>
      <c r="U67" s="214" t="n"/>
      <c r="V67" s="212" t="n"/>
      <c r="W67" s="2">
        <f>MIN(I67:Q67)</f>
        <v/>
      </c>
      <c r="X67" s="212" t="n"/>
      <c r="Y67" s="2">
        <f>MIN(I67:S67)</f>
        <v/>
      </c>
      <c r="Z67" s="214" t="n"/>
      <c r="AA67" s="214" t="n"/>
      <c r="AB67" s="212" t="n"/>
      <c r="AC67" s="2">
        <f>MIN(I67:Q67,T67)</f>
        <v/>
      </c>
      <c r="AD67" s="214" t="n"/>
      <c r="AE67" s="212" t="n"/>
    </row>
    <row r="68">
      <c r="A68" s="220" t="n"/>
      <c r="B68" s="225" t="n"/>
      <c r="C68" s="214" t="n"/>
      <c r="D68" s="214" t="n"/>
      <c r="E68" s="214" t="n"/>
      <c r="F68" s="214" t="n"/>
      <c r="G68" s="214" t="n"/>
      <c r="H68" s="214" t="n"/>
      <c r="I68" s="214" t="n"/>
      <c r="J68" s="214" t="n"/>
      <c r="K68" s="214" t="n"/>
      <c r="L68" s="214" t="n"/>
      <c r="M68" s="214" t="n"/>
      <c r="N68" s="214" t="n"/>
      <c r="O68" s="214" t="n"/>
      <c r="P68" s="214" t="n"/>
      <c r="Q68" s="214" t="n"/>
      <c r="R68" s="214" t="n"/>
      <c r="S68" s="214" t="n"/>
      <c r="T68" s="214" t="n"/>
      <c r="U68" s="214" t="n"/>
      <c r="V68" s="212" t="n"/>
      <c r="W68" s="225" t="n"/>
      <c r="X68" s="212" t="n"/>
      <c r="Y68" s="225" t="n"/>
      <c r="Z68" s="214" t="n"/>
      <c r="AA68" s="214" t="n"/>
      <c r="AB68" s="212" t="n"/>
      <c r="AC68" s="225" t="n"/>
      <c r="AD68" s="214" t="n"/>
      <c r="AE68" s="212" t="n"/>
    </row>
    <row r="69">
      <c r="A69" s="226" t="n"/>
      <c r="B69" s="252" t="inlineStr">
        <is>
          <t>B142ML</t>
        </is>
      </c>
      <c r="C69" s="214" t="n"/>
      <c r="D69" s="212" t="n"/>
      <c r="E69" s="252" t="inlineStr">
        <is>
          <t>MEL</t>
        </is>
      </c>
      <c r="F69" s="214" t="n"/>
      <c r="G69" s="214" t="n"/>
      <c r="H69" s="212" t="n"/>
      <c r="I69" s="2" t="n">
        <v>12</v>
      </c>
      <c r="J69" s="212" t="n"/>
      <c r="K69" s="2" t="n">
        <v>14</v>
      </c>
      <c r="L69" s="2" t="n">
        <v>14</v>
      </c>
      <c r="M69" s="214" t="n"/>
      <c r="N69" s="212" t="n"/>
      <c r="O69" s="2" t="n">
        <v>12</v>
      </c>
      <c r="P69" s="214" t="n"/>
      <c r="Q69" s="212" t="n"/>
      <c r="R69" s="2" t="n">
        <v>77</v>
      </c>
      <c r="S69" s="212" t="n"/>
      <c r="T69" s="2" t="n">
        <v>90</v>
      </c>
      <c r="U69" s="214" t="n"/>
      <c r="V69" s="212" t="n"/>
      <c r="W69" s="2">
        <f>MIN(I69:Q69)</f>
        <v/>
      </c>
      <c r="X69" s="212" t="n"/>
      <c r="Y69" s="2">
        <f>MIN(I69:S69)</f>
        <v/>
      </c>
      <c r="Z69" s="214" t="n"/>
      <c r="AA69" s="214" t="n"/>
      <c r="AB69" s="212" t="n"/>
      <c r="AC69" s="2">
        <f>MIN(I69:Q69,T69)</f>
        <v/>
      </c>
      <c r="AD69" s="214" t="n"/>
      <c r="AE69" s="212" t="n"/>
    </row>
    <row r="70">
      <c r="A70" s="172" t="n"/>
      <c r="B70" s="172" t="n"/>
      <c r="E70" s="172" t="n"/>
      <c r="G70" s="171" t="n"/>
      <c r="I70" s="71" t="inlineStr">
        <is>
          <t>V1</t>
        </is>
      </c>
      <c r="J70" s="230" t="n"/>
      <c r="K70" s="72" t="inlineStr">
        <is>
          <t>V2</t>
        </is>
      </c>
      <c r="L70" s="72" t="inlineStr">
        <is>
          <t>V3</t>
        </is>
      </c>
      <c r="M70" s="230" t="n"/>
      <c r="N70" s="230" t="n"/>
      <c r="O70" s="72" t="inlineStr">
        <is>
          <t>V4 01</t>
        </is>
      </c>
      <c r="P70" s="230" t="n"/>
      <c r="Q70" s="230" t="n"/>
      <c r="R70" s="72" t="inlineStr">
        <is>
          <t>V4 02</t>
        </is>
      </c>
      <c r="S70" s="230" t="n"/>
      <c r="T70" s="72" t="n"/>
      <c r="U70" s="230" t="n"/>
      <c r="V70" s="38" t="n"/>
    </row>
    <row r="71">
      <c r="A71" s="173" t="n"/>
      <c r="B71" s="173" t="n"/>
      <c r="E71" s="173" t="n"/>
      <c r="G71" s="104" t="n"/>
      <c r="I71" s="73" t="inlineStr">
        <is>
          <t>GRADE</t>
        </is>
      </c>
      <c r="J71" s="210" t="n"/>
      <c r="K71" s="74" t="inlineStr">
        <is>
          <t>PÉS</t>
        </is>
      </c>
      <c r="L71" s="74" t="inlineStr">
        <is>
          <t>BARRA</t>
        </is>
      </c>
      <c r="M71" s="210" t="n"/>
      <c r="N71" s="210" t="n"/>
      <c r="O71" s="74" t="inlineStr">
        <is>
          <t>ESCADA</t>
        </is>
      </c>
      <c r="P71" s="210" t="n"/>
      <c r="Q71" s="210" t="n"/>
      <c r="R71" s="74" t="inlineStr">
        <is>
          <t>ESCADA</t>
        </is>
      </c>
      <c r="S71" s="210" t="n"/>
      <c r="T71" s="74" t="inlineStr">
        <is>
          <t>TOTAL</t>
        </is>
      </c>
      <c r="U71" s="210" t="n"/>
      <c r="V71" s="24" t="n"/>
      <c r="W71" s="190" t="inlineStr">
        <is>
          <t>TOTAL 01</t>
        </is>
      </c>
      <c r="X71" s="210" t="n"/>
      <c r="Y71" s="190" t="inlineStr">
        <is>
          <t>TOTAL 02</t>
        </is>
      </c>
      <c r="Z71" s="210" t="n"/>
      <c r="AA71" s="210" t="n"/>
      <c r="AB71" s="210" t="n"/>
    </row>
    <row r="72">
      <c r="A72" s="216" t="inlineStr">
        <is>
          <t>TWIN TWIN</t>
        </is>
      </c>
      <c r="B72" s="231" t="inlineStr">
        <is>
          <t>B039BR</t>
        </is>
      </c>
      <c r="C72" s="230" t="n"/>
      <c r="D72" s="232" t="n"/>
      <c r="E72" s="231" t="inlineStr">
        <is>
          <t>BRANCO</t>
        </is>
      </c>
      <c r="F72" s="230" t="n"/>
      <c r="G72" s="230" t="n"/>
      <c r="H72" s="232" t="n"/>
      <c r="I72" s="44" t="n">
        <v>9</v>
      </c>
      <c r="J72" s="232" t="n"/>
      <c r="K72" s="44" t="n">
        <v>8</v>
      </c>
      <c r="L72" s="44" t="n">
        <v>-1</v>
      </c>
      <c r="M72" s="230" t="n"/>
      <c r="N72" s="232" t="n"/>
      <c r="O72" s="44" t="n">
        <v>32</v>
      </c>
      <c r="P72" s="230" t="n"/>
      <c r="Q72" s="232" t="n"/>
      <c r="R72" s="253" t="n"/>
      <c r="S72" s="232" t="n"/>
      <c r="T72" s="188">
        <f>MIN(I72:N72)</f>
        <v/>
      </c>
      <c r="U72" s="230" t="n"/>
      <c r="V72" s="230" t="n"/>
      <c r="W72" s="58">
        <f>MIN(I72:Q72)</f>
        <v/>
      </c>
      <c r="X72" s="212" t="n"/>
      <c r="Y72" s="60" t="n"/>
      <c r="Z72" s="214" t="n"/>
      <c r="AA72" s="214" t="n"/>
      <c r="AB72" s="212" t="n"/>
      <c r="AH72" s="56" t="n"/>
    </row>
    <row r="73">
      <c r="A73" s="220" t="n"/>
      <c r="B73" s="254" t="n"/>
      <c r="C73" s="214" t="n"/>
      <c r="D73" s="214" t="n"/>
      <c r="E73" s="214" t="n"/>
      <c r="F73" s="214" t="n"/>
      <c r="G73" s="214" t="n"/>
      <c r="H73" s="214" t="n"/>
      <c r="I73" s="214" t="n"/>
      <c r="J73" s="214" t="n"/>
      <c r="K73" s="214" t="n"/>
      <c r="L73" s="214" t="n"/>
      <c r="M73" s="214" t="n"/>
      <c r="N73" s="214" t="n"/>
      <c r="O73" s="214" t="n"/>
      <c r="P73" s="214" t="n"/>
      <c r="Q73" s="214" t="n"/>
      <c r="R73" s="214" t="n"/>
      <c r="S73" s="214" t="n"/>
      <c r="T73" s="214" t="n"/>
      <c r="U73" s="214" t="n"/>
      <c r="V73" s="214" t="n"/>
      <c r="W73" s="214" t="n"/>
      <c r="X73" s="214" t="n"/>
      <c r="Y73" s="214" t="n"/>
      <c r="Z73" s="214" t="n"/>
      <c r="AA73" s="214" t="n"/>
      <c r="AB73" s="212" t="n"/>
    </row>
    <row r="74">
      <c r="A74" s="220" t="n"/>
      <c r="B74" s="248" t="inlineStr">
        <is>
          <t>B039CC</t>
        </is>
      </c>
      <c r="D74" s="239" t="n"/>
      <c r="E74" s="248" t="inlineStr">
        <is>
          <t>CASTANHO</t>
        </is>
      </c>
      <c r="H74" s="239" t="n"/>
      <c r="I74" s="43" t="n">
        <v>8</v>
      </c>
      <c r="J74" s="239" t="n"/>
      <c r="K74" s="43" t="n">
        <v>22</v>
      </c>
      <c r="L74" s="43" t="n">
        <v>22</v>
      </c>
      <c r="N74" s="239" t="n"/>
      <c r="O74" s="43" t="n">
        <v>32</v>
      </c>
      <c r="Q74" s="239" t="n"/>
      <c r="R74" s="255" t="n"/>
      <c r="S74" s="239" t="n"/>
      <c r="T74" s="188">
        <f>MIN(I74:N74)</f>
        <v/>
      </c>
      <c r="U74" s="230" t="n"/>
      <c r="V74" s="230" t="n"/>
      <c r="W74" s="61">
        <f>MIN(I74:Q74)</f>
        <v/>
      </c>
      <c r="X74" s="232" t="n"/>
      <c r="Y74" s="65" t="n"/>
      <c r="Z74" s="230" t="n"/>
      <c r="AA74" s="230" t="n"/>
      <c r="AB74" s="232" t="n"/>
    </row>
    <row r="75">
      <c r="A75" s="220" t="n"/>
      <c r="B75" s="42" t="n"/>
      <c r="C75" s="40" t="n"/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40" t="n"/>
      <c r="Y75" s="40" t="n"/>
      <c r="Z75" s="40" t="n"/>
      <c r="AA75" s="40" t="n"/>
      <c r="AB75" s="41" t="n"/>
    </row>
    <row r="76">
      <c r="A76" s="226" t="n"/>
      <c r="B76" s="243" t="inlineStr">
        <is>
          <t>B039ML</t>
        </is>
      </c>
      <c r="C76" s="210" t="n"/>
      <c r="D76" s="211" t="n"/>
      <c r="E76" s="243" t="inlineStr">
        <is>
          <t>MEL</t>
        </is>
      </c>
      <c r="F76" s="210" t="n"/>
      <c r="G76" s="210" t="n"/>
      <c r="H76" s="211" t="n"/>
      <c r="I76" s="45" t="n">
        <v>13</v>
      </c>
      <c r="J76" s="211" t="n"/>
      <c r="K76" s="45" t="n">
        <v>12</v>
      </c>
      <c r="L76" s="45" t="n">
        <v>13</v>
      </c>
      <c r="M76" s="210" t="n"/>
      <c r="N76" s="211" t="n"/>
      <c r="O76" s="45" t="n">
        <v>17</v>
      </c>
      <c r="P76" s="210" t="n"/>
      <c r="Q76" s="211" t="n"/>
      <c r="R76" s="256" t="n"/>
      <c r="S76" s="211" t="n"/>
      <c r="T76" s="257">
        <f>MIN(I76:N76)</f>
        <v/>
      </c>
      <c r="U76" s="214" t="n"/>
      <c r="V76" s="212" t="n"/>
      <c r="W76" s="63">
        <f>MIN(I76:Q76)</f>
        <v/>
      </c>
      <c r="X76" s="211" t="n"/>
      <c r="Y76" s="66" t="n"/>
      <c r="Z76" s="210" t="n"/>
      <c r="AA76" s="210" t="n"/>
      <c r="AB76" s="211" t="n"/>
    </row>
  </sheetData>
  <mergeCells count="303">
    <mergeCell ref="B26:O26"/>
    <mergeCell ref="B41:O41"/>
    <mergeCell ref="B42:D42"/>
    <mergeCell ref="AC67:AE67"/>
    <mergeCell ref="O65:Q65"/>
    <mergeCell ref="B60:D60"/>
    <mergeCell ref="R67:S67"/>
    <mergeCell ref="O4:Q4"/>
    <mergeCell ref="E71:F71"/>
    <mergeCell ref="L74:N74"/>
    <mergeCell ref="L56:O56"/>
    <mergeCell ref="G71:H71"/>
    <mergeCell ref="AB9:AD9"/>
    <mergeCell ref="K19:O23"/>
    <mergeCell ref="B44:D44"/>
    <mergeCell ref="L52:O52"/>
    <mergeCell ref="AC69:AE69"/>
    <mergeCell ref="E32:H32"/>
    <mergeCell ref="R69:S69"/>
    <mergeCell ref="W65:X65"/>
    <mergeCell ref="B34:D34"/>
    <mergeCell ref="L27:O27"/>
    <mergeCell ref="L76:N76"/>
    <mergeCell ref="X9:AA9"/>
    <mergeCell ref="E47:H47"/>
    <mergeCell ref="I16:J16"/>
    <mergeCell ref="I76:J76"/>
    <mergeCell ref="I25:J25"/>
    <mergeCell ref="L9:N9"/>
    <mergeCell ref="L69:N69"/>
    <mergeCell ref="O70:Q70"/>
    <mergeCell ref="E62:H62"/>
    <mergeCell ref="I71:J71"/>
    <mergeCell ref="A49:A51"/>
    <mergeCell ref="I58:J58"/>
    <mergeCell ref="A32:A42"/>
    <mergeCell ref="Y71:AB71"/>
    <mergeCell ref="R12:S12"/>
    <mergeCell ref="I18:J18"/>
    <mergeCell ref="O76:Q76"/>
    <mergeCell ref="B33:J33"/>
    <mergeCell ref="T12:U12"/>
    <mergeCell ref="L11:N11"/>
    <mergeCell ref="R70:S70"/>
    <mergeCell ref="L53:O53"/>
    <mergeCell ref="I42:J42"/>
    <mergeCell ref="E51:H51"/>
    <mergeCell ref="A2:K2"/>
    <mergeCell ref="B35:J35"/>
    <mergeCell ref="B62:D62"/>
    <mergeCell ref="T70:U70"/>
    <mergeCell ref="I52:J52"/>
    <mergeCell ref="B54:D54"/>
    <mergeCell ref="O10:Q10"/>
    <mergeCell ref="I44:J44"/>
    <mergeCell ref="B72:D72"/>
    <mergeCell ref="E65:H65"/>
    <mergeCell ref="AC66:AE66"/>
    <mergeCell ref="E34:H34"/>
    <mergeCell ref="E74:H74"/>
    <mergeCell ref="W67:X67"/>
    <mergeCell ref="O9:Q9"/>
    <mergeCell ref="B56:D56"/>
    <mergeCell ref="T4:V4"/>
    <mergeCell ref="L47:N47"/>
    <mergeCell ref="B70:D70"/>
    <mergeCell ref="L38:O38"/>
    <mergeCell ref="B43:D43"/>
    <mergeCell ref="I69:J69"/>
    <mergeCell ref="E49:H49"/>
    <mergeCell ref="E27:H27"/>
    <mergeCell ref="E36:H36"/>
    <mergeCell ref="I30:J30"/>
    <mergeCell ref="AC68:AE68"/>
    <mergeCell ref="O5:Q5"/>
    <mergeCell ref="W69:X69"/>
    <mergeCell ref="E45:H45"/>
    <mergeCell ref="L71:N71"/>
    <mergeCell ref="L40:O40"/>
    <mergeCell ref="A5:A9"/>
    <mergeCell ref="R63:S63"/>
    <mergeCell ref="T74:V74"/>
    <mergeCell ref="A72:A76"/>
    <mergeCell ref="G70:H70"/>
    <mergeCell ref="L51:N51"/>
    <mergeCell ref="I70:J70"/>
    <mergeCell ref="B46:R46"/>
    <mergeCell ref="L63:N63"/>
    <mergeCell ref="B19:D19"/>
    <mergeCell ref="L10:N10"/>
    <mergeCell ref="T76:V76"/>
    <mergeCell ref="W64:X64"/>
    <mergeCell ref="I54:J54"/>
    <mergeCell ref="I32:J32"/>
    <mergeCell ref="I7:J7"/>
    <mergeCell ref="I72:J72"/>
    <mergeCell ref="E12:H12"/>
    <mergeCell ref="O12:Q12"/>
    <mergeCell ref="E21:H21"/>
    <mergeCell ref="B9:D9"/>
    <mergeCell ref="B74:D74"/>
    <mergeCell ref="O64:Q64"/>
    <mergeCell ref="Y72:AB72"/>
    <mergeCell ref="T69:V69"/>
    <mergeCell ref="E67:H67"/>
    <mergeCell ref="I56:J56"/>
    <mergeCell ref="E5:H5"/>
    <mergeCell ref="E14:H14"/>
    <mergeCell ref="B57:O57"/>
    <mergeCell ref="O72:Q72"/>
    <mergeCell ref="L49:N49"/>
    <mergeCell ref="I43:J43"/>
    <mergeCell ref="B76:D76"/>
    <mergeCell ref="B36:D36"/>
    <mergeCell ref="B45:D45"/>
    <mergeCell ref="E23:H23"/>
    <mergeCell ref="O14:Q14"/>
    <mergeCell ref="I24:J24"/>
    <mergeCell ref="B5:D5"/>
    <mergeCell ref="T11:U11"/>
    <mergeCell ref="O45:R45"/>
    <mergeCell ref="E38:H38"/>
    <mergeCell ref="O7:Q7"/>
    <mergeCell ref="W71:X71"/>
    <mergeCell ref="Y64:AB64"/>
    <mergeCell ref="B28:O28"/>
    <mergeCell ref="L42:O42"/>
    <mergeCell ref="I17:J17"/>
    <mergeCell ref="B47:D47"/>
    <mergeCell ref="L67:N67"/>
    <mergeCell ref="E40:H40"/>
    <mergeCell ref="R72:S72"/>
    <mergeCell ref="AB5:AD5"/>
    <mergeCell ref="T5:V5"/>
    <mergeCell ref="R16:S16"/>
    <mergeCell ref="I10:J10"/>
    <mergeCell ref="I19:J19"/>
    <mergeCell ref="B21:D21"/>
    <mergeCell ref="R71:S71"/>
    <mergeCell ref="AB4:AD4"/>
    <mergeCell ref="L12:N12"/>
    <mergeCell ref="R14:S14"/>
    <mergeCell ref="A54:A62"/>
    <mergeCell ref="I60:J60"/>
    <mergeCell ref="X5:AA5"/>
    <mergeCell ref="I9:J9"/>
    <mergeCell ref="T65:V65"/>
    <mergeCell ref="I74:J74"/>
    <mergeCell ref="L29:O29"/>
    <mergeCell ref="B50:R50"/>
    <mergeCell ref="B14:D14"/>
    <mergeCell ref="O63:Q63"/>
    <mergeCell ref="R64:S64"/>
    <mergeCell ref="B23:D23"/>
    <mergeCell ref="L14:N14"/>
    <mergeCell ref="W68:X68"/>
    <mergeCell ref="X4:AA4"/>
    <mergeCell ref="A64:H64"/>
    <mergeCell ref="I11:J11"/>
    <mergeCell ref="E16:H16"/>
    <mergeCell ref="E76:H76"/>
    <mergeCell ref="I45:J45"/>
    <mergeCell ref="O69:Q69"/>
    <mergeCell ref="E25:H25"/>
    <mergeCell ref="T64:V64"/>
    <mergeCell ref="L4:N4"/>
    <mergeCell ref="B59:O59"/>
    <mergeCell ref="L64:N64"/>
    <mergeCell ref="B15:W15"/>
    <mergeCell ref="A1:K1"/>
    <mergeCell ref="Y76:AB76"/>
    <mergeCell ref="E44:F44"/>
    <mergeCell ref="Y66:AB66"/>
    <mergeCell ref="I47:J47"/>
    <mergeCell ref="R7:S7"/>
    <mergeCell ref="B39:O39"/>
    <mergeCell ref="T63:U63"/>
    <mergeCell ref="B49:D49"/>
    <mergeCell ref="I37:J37"/>
    <mergeCell ref="B65:D65"/>
    <mergeCell ref="R74:S74"/>
    <mergeCell ref="T7:V7"/>
    <mergeCell ref="Y68:AB68"/>
    <mergeCell ref="T71:U71"/>
    <mergeCell ref="B51:D51"/>
    <mergeCell ref="I21:J21"/>
    <mergeCell ref="A45:A47"/>
    <mergeCell ref="O67:Q67"/>
    <mergeCell ref="B68:V68"/>
    <mergeCell ref="L65:N65"/>
    <mergeCell ref="B20:J20"/>
    <mergeCell ref="R76:S76"/>
    <mergeCell ref="I62:J62"/>
    <mergeCell ref="W72:X72"/>
    <mergeCell ref="T67:V67"/>
    <mergeCell ref="E29:H29"/>
    <mergeCell ref="I23:J23"/>
    <mergeCell ref="A19:A29"/>
    <mergeCell ref="L24:O24"/>
    <mergeCell ref="E70:F70"/>
    <mergeCell ref="B25:D25"/>
    <mergeCell ref="I64:J64"/>
    <mergeCell ref="I51:J51"/>
    <mergeCell ref="O44:R44"/>
    <mergeCell ref="A65:A69"/>
    <mergeCell ref="I63:J63"/>
    <mergeCell ref="L58:O58"/>
    <mergeCell ref="B6:AD6"/>
    <mergeCell ref="B12:D12"/>
    <mergeCell ref="L3:N3"/>
    <mergeCell ref="T3:U3"/>
    <mergeCell ref="R5:S5"/>
    <mergeCell ref="L25:O25"/>
    <mergeCell ref="R9:S9"/>
    <mergeCell ref="O51:R51"/>
    <mergeCell ref="I65:J65"/>
    <mergeCell ref="E43:F43"/>
    <mergeCell ref="I34:J34"/>
    <mergeCell ref="V12:W12"/>
    <mergeCell ref="O47:R47"/>
    <mergeCell ref="A12:A16"/>
    <mergeCell ref="B67:D67"/>
    <mergeCell ref="L60:O60"/>
    <mergeCell ref="Y65:AB65"/>
    <mergeCell ref="T9:V9"/>
    <mergeCell ref="R11:S11"/>
    <mergeCell ref="L5:N5"/>
    <mergeCell ref="I49:J49"/>
    <mergeCell ref="E54:H54"/>
    <mergeCell ref="I27:J27"/>
    <mergeCell ref="L45:N45"/>
    <mergeCell ref="AC64:AE64"/>
    <mergeCell ref="E7:H7"/>
    <mergeCell ref="E72:H72"/>
    <mergeCell ref="I36:J36"/>
    <mergeCell ref="V14:W14"/>
    <mergeCell ref="T14:U14"/>
    <mergeCell ref="B29:D29"/>
    <mergeCell ref="B69:D69"/>
    <mergeCell ref="O74:Q74"/>
    <mergeCell ref="B38:D38"/>
    <mergeCell ref="R4:S4"/>
    <mergeCell ref="O16:Q16"/>
    <mergeCell ref="W74:X74"/>
    <mergeCell ref="B73:AB73"/>
    <mergeCell ref="E56:H56"/>
    <mergeCell ref="O71:Q71"/>
    <mergeCell ref="E58:H58"/>
    <mergeCell ref="L44:N44"/>
    <mergeCell ref="W76:X76"/>
    <mergeCell ref="B40:D40"/>
    <mergeCell ref="AC65:AE65"/>
    <mergeCell ref="I53:J53"/>
    <mergeCell ref="R65:S65"/>
    <mergeCell ref="T72:V72"/>
    <mergeCell ref="B61:O61"/>
    <mergeCell ref="W66:X66"/>
    <mergeCell ref="L72:N72"/>
    <mergeCell ref="AB7:AD7"/>
    <mergeCell ref="I3:J3"/>
    <mergeCell ref="O11:Q11"/>
    <mergeCell ref="L37:O37"/>
    <mergeCell ref="E42:H42"/>
    <mergeCell ref="I12:J12"/>
    <mergeCell ref="B8:AD8"/>
    <mergeCell ref="Y74:AB74"/>
    <mergeCell ref="B32:D32"/>
    <mergeCell ref="K32:O36"/>
    <mergeCell ref="L70:N70"/>
    <mergeCell ref="I67:J67"/>
    <mergeCell ref="X7:AA7"/>
    <mergeCell ref="I5:J5"/>
    <mergeCell ref="R3:S3"/>
    <mergeCell ref="O49:R49"/>
    <mergeCell ref="I14:J14"/>
    <mergeCell ref="E19:H19"/>
    <mergeCell ref="Y67:AB67"/>
    <mergeCell ref="B7:D7"/>
    <mergeCell ref="L62:O62"/>
    <mergeCell ref="O3:Q3"/>
    <mergeCell ref="B16:D16"/>
    <mergeCell ref="L7:N7"/>
    <mergeCell ref="A4:H4"/>
    <mergeCell ref="I29:J29"/>
    <mergeCell ref="L16:N16"/>
    <mergeCell ref="T16:U16"/>
    <mergeCell ref="I4:J4"/>
    <mergeCell ref="E9:H9"/>
    <mergeCell ref="V16:W16"/>
    <mergeCell ref="E69:H69"/>
    <mergeCell ref="I38:J38"/>
    <mergeCell ref="E60:H60"/>
    <mergeCell ref="B55:O55"/>
    <mergeCell ref="B71:D71"/>
    <mergeCell ref="B22:J22"/>
    <mergeCell ref="Y69:AB69"/>
    <mergeCell ref="B58:D58"/>
    <mergeCell ref="B27:D27"/>
    <mergeCell ref="B66:V66"/>
    <mergeCell ref="I31:J31"/>
    <mergeCell ref="L43:N43"/>
    <mergeCell ref="L54:O54"/>
    <mergeCell ref="I40:J40"/>
  </mergeCells>
  <printOptions gridLines="1"/>
  <pageMargins left="0.7086614173228347" right="0.7086614173228347" top="0.7480314960629921" bottom="0.7480314960629921" header="0.3149606299212598" footer="0.3149606299212598"/>
  <pageSetup orientation="portrait" paperSize="9" scale="7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Online2PDF.com</dc:creator>
  <dcterms:created xsi:type="dcterms:W3CDTF">2026-04-06T13:06:42Z</dcterms:created>
  <dcterms:modified xsi:type="dcterms:W3CDTF">2026-04-21T17:31:22Z</dcterms:modified>
  <cp:lastModifiedBy>João</cp:lastModifiedBy>
  <cp:lastPrinted>2026-04-10T18:08:26Z</cp:lastPrinted>
</cp:coreProperties>
</file>